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 Plan" sheetId="1" state="visible" r:id="rId3"/>
    <sheet name="Gantt Chart" sheetId="2" state="visible" r:id="rId4"/>
    <sheet name="Stakeholders &amp; RACI" sheetId="3" state="visible" r:id="rId5"/>
    <sheet name="KB Register" sheetId="4" state="visible" r:id="rId6"/>
    <sheet name="Assumptions &amp; Risks" sheetId="5" state="visible" r:id="rId7"/>
  </sheets>
  <definedNames>
    <definedName function="false" hidden="true" localSheetId="3" name="_xlnm._FilterDatabase" vbProcedure="false">'KB Register'!$A$2:$H$28</definedName>
    <definedName function="false" hidden="true" localSheetId="0" name="_xlnm._FilterDatabase" vbProcedure="false">'Program Plan'!$A$4:$P$87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<sst xmlns="http://schemas.openxmlformats.org/spreadsheetml/2006/main" count="1187" uniqueCount="453">
  <si>
    <t xml:space="preserve">APM Digital Workplace  -  AVD Program Plan &amp; Gantt</t>
  </si>
  <si>
    <t xml:space="preserve">Delivery: Twiki Corp  |  Order: Job Seeker, Standard User, ES, Privileged, Developer  |  Window: 23 Jun - 30 Sep 2026 (contract end)  |  Network target: 26 Jun  |  Edit Start/End/% and bars, dep checks and chart update live</t>
  </si>
  <si>
    <t xml:space="preserve">ES = Employment Services take-home device (was CTA).  Privileged = production access at two tiers: Priv (zz) and High-Priv (xy), YubiKey-gated.  Bars by workstream | green = % done | gold = milestone | red = critical | grey = today | Dep check = Overlap where a task starts before a predecessor finishes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</si>
  <si>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</si>
  <si>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</si>
  <si>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</si>
  <si>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</si>
  <si>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</si>
  <si>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</si>
  <si>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</si>
  <si>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</si>
  <si>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</si>
  <si>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</si>
  <si>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</si>
  <si>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</si>
  <si>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</si>
  <si>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</si>
  <si>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</si>
  <si>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</si>
  <si>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</si>
  <si>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ID</t>
  </si>
  <si>
    <t xml:space="preserve">Workstream</t>
  </si>
  <si>
    <t xml:space="preserve">Phase</t>
  </si>
  <si>
    <t xml:space="preserve">Task</t>
  </si>
  <si>
    <t xml:space="preserve">Owner (Accountable)</t>
  </si>
  <si>
    <t xml:space="preserve">Support (Responsible)</t>
  </si>
  <si>
    <t xml:space="preserve">Depends</t>
  </si>
  <si>
    <t xml:space="preserve">Start</t>
  </si>
  <si>
    <t xml:space="preserve">End</t>
  </si>
  <si>
    <t xml:space="preserve">Days</t>
  </si>
  <si>
    <t xml:space="preserve">%</t>
  </si>
  <si>
    <t xml:space="preserve">Status</t>
  </si>
  <si>
    <t xml:space="preserve">Latest pred finish</t>
  </si>
  <si>
    <t xml:space="preserve">Dep check</t>
  </si>
  <si>
    <t xml:space="preserve">Type</t>
  </si>
  <si>
    <t xml:space="preserve">Crit</t>
  </si>
  <si>
    <t xml:space="preserve">N1</t>
  </si>
  <si>
    <t xml:space="preserve">0 Network</t>
  </si>
  <si>
    <t xml:space="preserve">Site network</t>
  </si>
  <si>
    <t xml:space="preserve">Repurpose JS VLAN to APM-KIOSK (VLAN 73), hidden SSID + PSK via Intune</t>
  </si>
  <si>
    <t xml:space="preserve">APM Network - Michael Court</t>
  </si>
  <si>
    <t xml:space="preserve">Twiki - Shaun Struik</t>
  </si>
  <si>
    <t xml:space="preserve">-</t>
  </si>
  <si>
    <t xml:space="preserve">In progress</t>
  </si>
  <si>
    <t xml:space="preserve">Y</t>
  </si>
  <si>
    <t xml:space="preserve">N2</t>
  </si>
  <si>
    <t xml:space="preserve">Meraki per-site /26 template, 20Mbps, remove CAPTCHA</t>
  </si>
  <si>
    <t xml:space="preserve">Twiki - Michael Webster</t>
  </si>
  <si>
    <t xml:space="preserve">N3</t>
  </si>
  <si>
    <t xml:space="preserve">Palo Alto east-west firewall rules (kiosk to AVD, deny-all)</t>
  </si>
  <si>
    <t xml:space="preserve">APM Cyber - Ugbaad Adani</t>
  </si>
  <si>
    <t xml:space="preserve">Not started</t>
  </si>
  <si>
    <t xml:space="preserve">N4</t>
  </si>
  <si>
    <t xml:space="preserve">Zscaler IPSEC tunnel (Stratus) cutover from ZCC</t>
  </si>
  <si>
    <t xml:space="preserve">N5</t>
  </si>
  <si>
    <t xml:space="preserve">MILESTONE: Network build target</t>
  </si>
  <si>
    <t xml:space="preserve">N1,N2</t>
  </si>
  <si>
    <t xml:space="preserve">Milestone</t>
  </si>
  <si>
    <t xml:space="preserve">N6</t>
  </si>
  <si>
    <t xml:space="preserve">Azure foundation</t>
  </si>
  <si>
    <t xml:space="preserve">Hub VNet - DNS Private Resolver, NAT GW, shared services</t>
  </si>
  <si>
    <t xml:space="preserve">N7</t>
  </si>
  <si>
    <t xml:space="preserve">AVD spoke VNet, NSGs, private endpoints (KV/Files/Func)</t>
  </si>
  <si>
    <t xml:space="preserve">N8</t>
  </si>
  <si>
    <t xml:space="preserve">DNS Private Resolver zones + FQDN allowlist validation</t>
  </si>
  <si>
    <t xml:space="preserve">N9</t>
  </si>
  <si>
    <t xml:space="preserve">Test &amp; document</t>
  </si>
  <si>
    <t xml:space="preserve">Test network end-to-end (AVD FQDNs, Key Vault, Zscaler path)</t>
  </si>
  <si>
    <t xml:space="preserve">N4,N7</t>
  </si>
  <si>
    <t xml:space="preserve">N10</t>
  </si>
  <si>
    <t xml:space="preserve">Network As-Built document</t>
  </si>
  <si>
    <t xml:space="preserve">N11</t>
  </si>
  <si>
    <t xml:space="preserve">Patternise reusable Azure hub-spoke build template</t>
  </si>
  <si>
    <t xml:space="preserve">N12</t>
  </si>
  <si>
    <t xml:space="preserve">MILESTONE: Network ready + patternised</t>
  </si>
  <si>
    <t xml:space="preserve">APM - Murray Thomas</t>
  </si>
  <si>
    <t xml:space="preserve">N9,N11</t>
  </si>
  <si>
    <t xml:space="preserve">J1</t>
  </si>
  <si>
    <t xml:space="preserve">1 Job Seeker</t>
  </si>
  <si>
    <t xml:space="preserve">AVD &amp; identity</t>
  </si>
  <si>
    <t xml:space="preserve">Nerdio host pool HP-APM-Kiosk + golden image (Win11 IoT/Ent)</t>
  </si>
  <si>
    <t xml:space="preserve">Nerdio</t>
  </si>
  <si>
    <t xml:space="preserve">J2</t>
  </si>
  <si>
    <t xml:space="preserve">Entra groups + F3 account runbook + Key Vault + Credential Proxy + Hybrid Worker</t>
  </si>
  <si>
    <t xml:space="preserve">J3</t>
  </si>
  <si>
    <t xml:space="preserve">Conditional Access (device-bound, web-only, block non-Win/web client)</t>
  </si>
  <si>
    <t xml:space="preserve">J4</t>
  </si>
  <si>
    <t xml:space="preserve">Shell Launcher + Windows App + Autopilot self-deploying profile</t>
  </si>
  <si>
    <t xml:space="preserve">APM EUC - Nick Dorbie</t>
  </si>
  <si>
    <t xml:space="preserve">J5</t>
  </si>
  <si>
    <t xml:space="preserve">Lock screen proactive remediation (password + wallpaper)</t>
  </si>
  <si>
    <t xml:space="preserve">J6</t>
  </si>
  <si>
    <t xml:space="preserve">Device test</t>
  </si>
  <si>
    <t xml:space="preserve">Test device on test network</t>
  </si>
  <si>
    <t xml:space="preserve">J3,J4</t>
  </si>
  <si>
    <t xml:space="preserve">J7</t>
  </si>
  <si>
    <t xml:space="preserve">Test device on test + production network</t>
  </si>
  <si>
    <t xml:space="preserve">N5,J6</t>
  </si>
  <si>
    <t xml:space="preserve">J8</t>
  </si>
  <si>
    <t xml:space="preserve">MILESTONE: Test device validated on both networks</t>
  </si>
  <si>
    <t xml:space="preserve">J9</t>
  </si>
  <si>
    <t xml:space="preserve">CompNow build</t>
  </si>
  <si>
    <t xml:space="preserve">Finalise CompNow build instructions (wipe/prep/Autopilot/label/ship)</t>
  </si>
  <si>
    <t xml:space="preserve">CompNow</t>
  </si>
  <si>
    <t xml:space="preserve">J10</t>
  </si>
  <si>
    <t xml:space="preserve">CompNow tests build process</t>
  </si>
  <si>
    <t xml:space="preserve">J11</t>
  </si>
  <si>
    <t xml:space="preserve">Two team members test order-to-delivery end to end</t>
  </si>
  <si>
    <t xml:space="preserve">Twiki - Shaun + Dave</t>
  </si>
  <si>
    <t xml:space="preserve">J12</t>
  </si>
  <si>
    <t xml:space="preserve">MILESTONE: Build process proven end to end</t>
  </si>
  <si>
    <t xml:space="preserve">Twiki - Dave Badger</t>
  </si>
  <si>
    <t xml:space="preserve">J13</t>
  </si>
  <si>
    <t xml:space="preserve">Rollout</t>
  </si>
  <si>
    <t xml:space="preserve">Pilot 5-10 devices across 2-3 sites</t>
  </si>
  <si>
    <t xml:space="preserve">APM ES - Ben Riches</t>
  </si>
  <si>
    <t xml:space="preserve">J14</t>
  </si>
  <si>
    <t xml:space="preserve">Site network cutover JS to APM-KIOSK (rolling, per site)</t>
  </si>
  <si>
    <t xml:space="preserve">J15</t>
  </si>
  <si>
    <t xml:space="preserve">Onsite device test</t>
  </si>
  <si>
    <t xml:space="preserve">J16</t>
  </si>
  <si>
    <t xml:space="preserve">National rollout (~517 devices, rolling)</t>
  </si>
  <si>
    <t xml:space="preserve">J17</t>
  </si>
  <si>
    <t xml:space="preserve">MILESTONE: Job Seeker national rollout complete</t>
  </si>
  <si>
    <t xml:space="preserve">S1</t>
  </si>
  <si>
    <t xml:space="preserve">2 Standard User</t>
  </si>
  <si>
    <t xml:space="preserve">Document &amp; design</t>
  </si>
  <si>
    <t xml:space="preserve">Document current Intune laptop SOE + Autopilot (14 policies)</t>
  </si>
  <si>
    <t xml:space="preserve">S2</t>
  </si>
  <si>
    <t xml:space="preserve">Close DR-010 printing + DR-011 mapped drive decisions</t>
  </si>
  <si>
    <t xml:space="preserve">APM Digital Ops - Michael Barker</t>
  </si>
  <si>
    <t xml:space="preserve">S3</t>
  </si>
  <si>
    <t xml:space="preserve">Finalise DDD V1.0 + CAB</t>
  </si>
  <si>
    <t xml:space="preserve">APM - Samit Chandra</t>
  </si>
  <si>
    <t xml:space="preserve">S1,S2</t>
  </si>
  <si>
    <t xml:space="preserve">S4</t>
  </si>
  <si>
    <t xml:space="preserve">MILESTONE: Standard User DDD approved</t>
  </si>
  <si>
    <t xml:space="preserve">S5</t>
  </si>
  <si>
    <t xml:space="preserve">Build</t>
  </si>
  <si>
    <t xml:space="preserve">Entra groups (corp/BYOD/hosts) + CA (block unmanaged, allow Windows App, context groups)</t>
  </si>
  <si>
    <t xml:space="preserve">N11,S4</t>
  </si>
  <si>
    <t xml:space="preserve">S6</t>
  </si>
  <si>
    <t xml:space="preserve">Azure Files Premium FSLogix + Entra Kerberos</t>
  </si>
  <si>
    <t xml:space="preserve">S7</t>
  </si>
  <si>
    <t xml:space="preserve">Compute Gallery + golden image (multi-session, M365, Teams optimised)</t>
  </si>
  <si>
    <t xml:space="preserve">S8</t>
  </si>
  <si>
    <t xml:space="preserve">Nerdio pooled host pool + corp/BYOD app groups + autoscale</t>
  </si>
  <si>
    <t xml:space="preserve">S9</t>
  </si>
  <si>
    <t xml:space="preserve">Scope 14 Intune policies + AVD profiles to session hosts</t>
  </si>
  <si>
    <t xml:space="preserve">S10</t>
  </si>
  <si>
    <t xml:space="preserve">Pilot &amp; rollout</t>
  </si>
  <si>
    <t xml:space="preserve">Pilot 25-50 users (mixed personas)</t>
  </si>
  <si>
    <t xml:space="preserve">S8,S9</t>
  </si>
  <si>
    <t xml:space="preserve">S11</t>
  </si>
  <si>
    <t xml:space="preserve">Validate CA from corporate + personal device</t>
  </si>
  <si>
    <t xml:space="preserve">S5,S10</t>
  </si>
  <si>
    <t xml:space="preserve">S12</t>
  </si>
  <si>
    <t xml:space="preserve">Production rollout (entitle staff, comms, Windows App self-serve)</t>
  </si>
  <si>
    <t xml:space="preserve">APM - Kath Nash</t>
  </si>
  <si>
    <t xml:space="preserve">S13</t>
  </si>
  <si>
    <t xml:space="preserve">MILESTONE: Standard User AVD GA</t>
  </si>
  <si>
    <t xml:space="preserve">E1</t>
  </si>
  <si>
    <t xml:space="preserve">3 ES</t>
  </si>
  <si>
    <t xml:space="preserve">Design adaptation</t>
  </si>
  <si>
    <t xml:space="preserve">Adapt JS image: midnight daily reset (vs 10-min inactivity)</t>
  </si>
  <si>
    <t xml:space="preserve">E2</t>
  </si>
  <si>
    <t xml:space="preserve">Redesign take-home: any Wi-Fi, off-site filtering (Zscaler client on device), revised CA</t>
  </si>
  <si>
    <t xml:space="preserve">E3</t>
  </si>
  <si>
    <t xml:space="preserve">ES DDD + CAB</t>
  </si>
  <si>
    <t xml:space="preserve">E4</t>
  </si>
  <si>
    <t xml:space="preserve">MILESTONE: ES DDD approved</t>
  </si>
  <si>
    <t xml:space="preserve">E5</t>
  </si>
  <si>
    <t xml:space="preserve">Build &amp; test</t>
  </si>
  <si>
    <t xml:space="preserve">Build ES image/profiles (midnight reset, incl. Eskilled folder)</t>
  </si>
  <si>
    <t xml:space="preserve">APM ES - Claire McArdle</t>
  </si>
  <si>
    <t xml:space="preserve">E6</t>
  </si>
  <si>
    <t xml:space="preserve">Test off-site scenarios (home Wi-Fi, reset, filtering)</t>
  </si>
  <si>
    <t xml:space="preserve">E7</t>
  </si>
  <si>
    <t xml:space="preserve">Pilot + rollout (take-home devices)</t>
  </si>
  <si>
    <t xml:space="preserve">E8</t>
  </si>
  <si>
    <t xml:space="preserve">MILESTONE: ES live</t>
  </si>
  <si>
    <t xml:space="preserve">P1</t>
  </si>
  <si>
    <t xml:space="preserve">4 Privileged</t>
  </si>
  <si>
    <t xml:space="preserve">Design</t>
  </si>
  <si>
    <t xml:space="preserve">Privileged design: PAW-style hardened image (no mail/Teams/browse), two tiers Priv(zz)/High-Priv(xy)</t>
  </si>
  <si>
    <t xml:space="preserve">P2</t>
  </si>
  <si>
    <t xml:space="preserve">Production access model: PIM per tier, just-in-time elevation, approval + audit</t>
  </si>
  <si>
    <t xml:space="preserve">P3</t>
  </si>
  <si>
    <t xml:space="preserve">Privileged Access DDD + CAB</t>
  </si>
  <si>
    <t xml:space="preserve">P4</t>
  </si>
  <si>
    <t xml:space="preserve">MILESTONE: Privileged DDD approved</t>
  </si>
  <si>
    <t xml:space="preserve">APM - Jensen Spencer</t>
  </si>
  <si>
    <t xml:space="preserve">P5</t>
  </si>
  <si>
    <t xml:space="preserve">YubiKey</t>
  </si>
  <si>
    <t xml:space="preserve">Test YubiKey 5C NFC FIPS (phishing-resistant MFA for zz/xy)</t>
  </si>
  <si>
    <t xml:space="preserve">P6</t>
  </si>
  <si>
    <t xml:space="preserve">MILESTONE: YubiKey 5C NFC FIPS validated</t>
  </si>
  <si>
    <t xml:space="preserve">P7</t>
  </si>
  <si>
    <t xml:space="preserve">Build hardened Privileged image + secure pool</t>
  </si>
  <si>
    <t xml:space="preserve">P8</t>
  </si>
  <si>
    <t xml:space="preserve">CA + PIM for Priv(zz) &amp; High-Priv(xy) production scopes; YubiKey-only sign-in</t>
  </si>
  <si>
    <t xml:space="preserve">P6,P7</t>
  </si>
  <si>
    <t xml:space="preserve">P9</t>
  </si>
  <si>
    <t xml:space="preserve">Pilot &amp; cutover</t>
  </si>
  <si>
    <t xml:space="preserve">Pilot privileged users (both tiers) + validate prod access via YubiKey</t>
  </si>
  <si>
    <t xml:space="preserve">P10</t>
  </si>
  <si>
    <t xml:space="preserve">MILESTONE: Privileged Access live (zz + xy)</t>
  </si>
  <si>
    <t xml:space="preserve">D1</t>
  </si>
  <si>
    <t xml:space="preserve">5 Developer</t>
  </si>
  <si>
    <t xml:space="preserve">Finalise Dev DDD: permissive dev image, limited blocks, no production-access path</t>
  </si>
  <si>
    <t xml:space="preserve">D2</t>
  </si>
  <si>
    <t xml:space="preserve">Design Dev network from JS pattern + adjust (deny-by-default egress, Zscaler at endpoint)</t>
  </si>
  <si>
    <t xml:space="preserve">D3</t>
  </si>
  <si>
    <t xml:space="preserve">AVD landing zone (Bicep) + FSLogix Premium ZRS + Sentinel + Entra groups</t>
  </si>
  <si>
    <t xml:space="preserve">D1,D2</t>
  </si>
  <si>
    <t xml:space="preserve">D4</t>
  </si>
  <si>
    <t xml:space="preserve">AIB image pipeline (Git template, signing, SBOM)</t>
  </si>
  <si>
    <t xml:space="preserve">D5</t>
  </si>
  <si>
    <t xml:space="preserve">Primary pooled host pool + scaling plan (nested virtualisation)</t>
  </si>
  <si>
    <t xml:space="preserve">D6</t>
  </si>
  <si>
    <t xml:space="preserve">Dev tooling layers (VS, Podman/containers, WSL2) with limited blocks</t>
  </si>
  <si>
    <t xml:space="preserve">D7</t>
  </si>
  <si>
    <t xml:space="preserve">Pilot &amp; GA</t>
  </si>
  <si>
    <t xml:space="preserve">Pilot ring (PDE owner + cohort) + smoke test + CA enforced</t>
  </si>
  <si>
    <t xml:space="preserve">APM - PDE owner (TBC)</t>
  </si>
  <si>
    <t xml:space="preserve">D8</t>
  </si>
  <si>
    <t xml:space="preserve">Team-by-team migration from legacy PDE</t>
  </si>
  <si>
    <t xml:space="preserve">D9</t>
  </si>
  <si>
    <t xml:space="preserve">Capability phases 2-3 (winget/ACR; Copilot/MCP/local LLM)</t>
  </si>
  <si>
    <t xml:space="preserve">D10</t>
  </si>
  <si>
    <t xml:space="preserve">Retire legacy PDE after 1 month stable</t>
  </si>
  <si>
    <t xml:space="preserve">D11</t>
  </si>
  <si>
    <t xml:space="preserve">MILESTONE: Developer SOE GA (past 30 Sep on current resourcing)</t>
  </si>
  <si>
    <t xml:space="preserve">D8,D9</t>
  </si>
  <si>
    <t xml:space="preserve">L1</t>
  </si>
  <si>
    <t xml:space="preserve">6 Logistics</t>
  </si>
  <si>
    <t xml:space="preserve">Job Seeker</t>
  </si>
  <si>
    <t xml:space="preserve">Retrieve old JS devices onsite + place new (rolling)</t>
  </si>
  <si>
    <t xml:space="preserve">L2</t>
  </si>
  <si>
    <t xml:space="preserve">All</t>
  </si>
  <si>
    <t xml:space="preserve">Asset register updates (ongoing)</t>
  </si>
  <si>
    <t xml:space="preserve">L3</t>
  </si>
  <si>
    <t xml:space="preserve">Standard User</t>
  </si>
  <si>
    <t xml:space="preserve">Retrieve standard-user laptops as AVD replaces</t>
  </si>
  <si>
    <t xml:space="preserve">L4</t>
  </si>
  <si>
    <t xml:space="preserve">Privileged</t>
  </si>
  <si>
    <t xml:space="preserve">Retrieve/contract high-priv laptops to users on own Macs (via Privileged image)</t>
  </si>
  <si>
    <t xml:space="preserve">K1</t>
  </si>
  <si>
    <t xml:space="preserve">7 KB &amp; Enablement</t>
  </si>
  <si>
    <t xml:space="preserve">Network</t>
  </si>
  <si>
    <t xml:space="preserve">KB: APM-KIOSK build/cutover + Azure hub-spoke pattern</t>
  </si>
  <si>
    <t xml:space="preserve">Twiki - Shaun (build)</t>
  </si>
  <si>
    <t xml:space="preserve">Kath Nash -&gt; Michael Court</t>
  </si>
  <si>
    <t xml:space="preserve">K2</t>
  </si>
  <si>
    <t xml:space="preserve">KB: CompNow wipe/prep/ship process</t>
  </si>
  <si>
    <t xml:space="preserve">Kath Nash -&gt; CompNow</t>
  </si>
  <si>
    <t xml:space="preserve">K3</t>
  </si>
  <si>
    <t xml:space="preserve">KB: JS ops (password rotation, lock screen, site cutover, device replace)</t>
  </si>
  <si>
    <t xml:space="preserve">Kath Nash -&gt; Nick Dorbie / Rohit Singh</t>
  </si>
  <si>
    <t xml:space="preserve">K4</t>
  </si>
  <si>
    <t xml:space="preserve">KB: image/patch, FSLogix lifecycle, CA BYOD, Windows App onboarding</t>
  </si>
  <si>
    <t xml:space="preserve">Kath Nash -&gt; Nick Dorbie</t>
  </si>
  <si>
    <t xml:space="preserve">K5</t>
  </si>
  <si>
    <t xml:space="preserve">ES</t>
  </si>
  <si>
    <t xml:space="preserve">KB: ES midnight reset, off-site connectivity, Eskilled access</t>
  </si>
  <si>
    <t xml:space="preserve">Kath Nash -&gt; Ben Riches / Rohit Singh</t>
  </si>
  <si>
    <t xml:space="preserve">K6</t>
  </si>
  <si>
    <t xml:space="preserve">KB: Privileged access request, PIM per tier (zz/xy), YubiKey enrolment</t>
  </si>
  <si>
    <t xml:space="preserve">Kath Nash -&gt; Ugbaad Adani / Rohit Singh</t>
  </si>
  <si>
    <t xml:space="preserve">K7</t>
  </si>
  <si>
    <t xml:space="preserve">Developer</t>
  </si>
  <si>
    <t xml:space="preserve">KB: Dev image pipeline/rollback, self-service tooling, MCP request, FSLogix recovery</t>
  </si>
  <si>
    <t xml:space="preserve">Kath Nash -&gt; PDE owner / Rohit Singh</t>
  </si>
  <si>
    <t xml:space="preserve">K8</t>
  </si>
  <si>
    <t xml:space="preserve">Service Desk</t>
  </si>
  <si>
    <t xml:space="preserve">KB: Tier-1 Service Desk triage runbooks (all use cases)</t>
  </si>
  <si>
    <t xml:space="preserve">Kath Nash -&gt; Rohit Singh</t>
  </si>
  <si>
    <t xml:space="preserve">Native Gantt (bars). Edit dates on Program Plan and this updates. Coloured by workstream, gold milestones, red critical. Bars past 30 Sep show Developer spill.</t>
  </si>
  <si>
    <t xml:space="preserve">Stakeholders &amp; RACI</t>
  </si>
  <si>
    <t xml:space="preserve">Name</t>
  </si>
  <si>
    <t xml:space="preserve">Org</t>
  </si>
  <si>
    <t xml:space="preserve">Role</t>
  </si>
  <si>
    <t xml:space="preserve">Accountable / Owns</t>
  </si>
  <si>
    <t xml:space="preserve">Reports to</t>
  </si>
  <si>
    <t xml:space="preserve">Murray Thomas</t>
  </si>
  <si>
    <t xml:space="preserve">APM</t>
  </si>
  <si>
    <t xml:space="preserve">Digital Delivery Portfolio Manager</t>
  </si>
  <si>
    <t xml:space="preserve">This project - decision authority &amp; escalation. Shaun + Dave report here.</t>
  </si>
  <si>
    <t xml:space="preserve">Nathan Heaton</t>
  </si>
  <si>
    <t xml:space="preserve">Program Manager (overall)</t>
  </si>
  <si>
    <t xml:space="preserve">Program-level coordination across projects</t>
  </si>
  <si>
    <t xml:space="preserve">Samit Chandra</t>
  </si>
  <si>
    <t xml:space="preserve">Head of Digital Transformation &amp; Architecture</t>
  </si>
  <si>
    <t xml:space="preserve">DDD owner; architecture authority; Dev requirements sign-off</t>
  </si>
  <si>
    <t xml:space="preserve">Jensen Spencer</t>
  </si>
  <si>
    <t xml:space="preserve">CTO / CISO</t>
  </si>
  <si>
    <t xml:space="preserve">All Cyber and IT; Privileged Access authority; approved JS printing</t>
  </si>
  <si>
    <t xml:space="preserve">Michael Barker</t>
  </si>
  <si>
    <t xml:space="preserve">Head of Digital Operations</t>
  </si>
  <si>
    <t xml:space="preserve">Operations; SSID approval; Dev support model; PDE decommission</t>
  </si>
  <si>
    <t xml:space="preserve">Michael Court</t>
  </si>
  <si>
    <t xml:space="preserve">IT Infrastructure Lead</t>
  </si>
  <si>
    <t xml:space="preserve">Network &amp; infrastructure build (site + Azure)</t>
  </si>
  <si>
    <t xml:space="preserve">Jensen Spencer (assumed)</t>
  </si>
  <si>
    <t xml:space="preserve">Ugbaad Adani</t>
  </si>
  <si>
    <t xml:space="preserve">Cyber Security</t>
  </si>
  <si>
    <t xml:space="preserve">Cyber controls, RFFR assurance, CA/PIM, Privileged Access + YubiKey</t>
  </si>
  <si>
    <t xml:space="preserve">Nick Dorbie</t>
  </si>
  <si>
    <t xml:space="preserve">End User Compute Manager</t>
  </si>
  <si>
    <t xml:space="preserve">EUC build/operations, Intune</t>
  </si>
  <si>
    <t xml:space="preserve">Michael Barker (assumed)</t>
  </si>
  <si>
    <t xml:space="preserve">Rohit Singh</t>
  </si>
  <si>
    <t xml:space="preserve">IT Service Lead / Service Desk</t>
  </si>
  <si>
    <t xml:space="preserve">Support, triage runbooks</t>
  </si>
  <si>
    <t xml:space="preserve">Kath Nash</t>
  </si>
  <si>
    <t xml:space="preserve">Digital Business Partner</t>
  </si>
  <si>
    <t xml:space="preserve">All instructions + comms; KB validation</t>
  </si>
  <si>
    <t xml:space="preserve">Ben Riches</t>
  </si>
  <si>
    <t xml:space="preserve">ES Lead</t>
  </si>
  <si>
    <t xml:space="preserve">Business owner: Job Seeker, ES (take-home), ES devices</t>
  </si>
  <si>
    <t xml:space="preserve">James Muller</t>
  </si>
  <si>
    <t xml:space="preserve">CEO Employment Services</t>
  </si>
  <si>
    <t xml:space="preserve">Executive sponsor</t>
  </si>
  <si>
    <t xml:space="preserve">Claire McArdle</t>
  </si>
  <si>
    <t xml:space="preserve">ES (Eskilled)</t>
  </si>
  <si>
    <t xml:space="preserve">ES Eskilled training content</t>
  </si>
  <si>
    <t xml:space="preserve">PDE owner</t>
  </si>
  <si>
    <t xml:space="preserve">To be nominated</t>
  </si>
  <si>
    <t xml:space="preserve">Developer platform owner (Dev service catalogue, image approval)</t>
  </si>
  <si>
    <t xml:space="preserve">Michael Webster</t>
  </si>
  <si>
    <t xml:space="preserve">Twiki Corp</t>
  </si>
  <si>
    <t xml:space="preserve">Architecture Lead (Azure, Cloud, Security)</t>
  </si>
  <si>
    <t xml:space="preserve">Solution architecture</t>
  </si>
  <si>
    <t xml:space="preserve">Shaun Struik</t>
  </si>
  <si>
    <t xml:space="preserve">Solution Engineer AVD</t>
  </si>
  <si>
    <t xml:space="preserve">AVD build &amp; delivery; KB authoring</t>
  </si>
  <si>
    <t xml:space="preserve">David Badger</t>
  </si>
  <si>
    <t xml:space="preserve">Project Manager</t>
  </si>
  <si>
    <t xml:space="preserve">PM + device logistics / retrieval</t>
  </si>
  <si>
    <t xml:space="preserve">External</t>
  </si>
  <si>
    <t xml:space="preserve">Device partner</t>
  </si>
  <si>
    <t xml:space="preserve">Device wipe/prep/build/ship</t>
  </si>
  <si>
    <t xml:space="preserve">AVD orchestration platform</t>
  </si>
  <si>
    <t xml:space="preserve">Host pool management, autoscale, reimaging</t>
  </si>
  <si>
    <t xml:space="preserve">KB Register  -  build by Shaun, validate by Kath Nash, then validate by process stakeholder (APM KB standard, admin review before publish)</t>
  </si>
  <si>
    <t xml:space="preserve">KB ID</t>
  </si>
  <si>
    <t xml:space="preserve">Process / KB Title</t>
  </si>
  <si>
    <t xml:space="preserve">Built by</t>
  </si>
  <si>
    <t xml:space="preserve">Validate 1</t>
  </si>
  <si>
    <t xml:space="preserve">Validate 2 (stakeholder)</t>
  </si>
  <si>
    <t xml:space="preserve">Owning team</t>
  </si>
  <si>
    <t xml:space="preserve">KB-N1</t>
  </si>
  <si>
    <t xml:space="preserve">APM-KIOSK site network build &amp; site cutover</t>
  </si>
  <si>
    <t xml:space="preserve">KB-N2</t>
  </si>
  <si>
    <t xml:space="preserve">Azure hub-spoke reusable build pattern</t>
  </si>
  <si>
    <t xml:space="preserve">Cloud / Azure</t>
  </si>
  <si>
    <t xml:space="preserve">KB-J1</t>
  </si>
  <si>
    <t xml:space="preserve">CompNow device wipe / prep / Autopilot / label / ship</t>
  </si>
  <si>
    <t xml:space="preserve">CompNow + Nick Dorbie</t>
  </si>
  <si>
    <t xml:space="preserve">EUC / Vendor</t>
  </si>
  <si>
    <t xml:space="preserve">KB-J2</t>
  </si>
  <si>
    <t xml:space="preserve">Kiosk password rotation runbook (Azure Automation)</t>
  </si>
  <si>
    <t xml:space="preserve">Cyber</t>
  </si>
  <si>
    <t xml:space="preserve">KB-J3</t>
  </si>
  <si>
    <t xml:space="preserve">Lock screen proactive remediation</t>
  </si>
  <si>
    <t xml:space="preserve">EUC</t>
  </si>
  <si>
    <t xml:space="preserve">KB-J4</t>
  </si>
  <si>
    <t xml:space="preserve">F3 account create / retire runbook</t>
  </si>
  <si>
    <t xml:space="preserve">KB-J5</t>
  </si>
  <si>
    <t xml:space="preserve">Site VLAN to APM-KIOSK cutover (per site)</t>
  </si>
  <si>
    <t xml:space="preserve">KB-J6</t>
  </si>
  <si>
    <t xml:space="preserve">Kiosk device replacement / RMA</t>
  </si>
  <si>
    <t xml:space="preserve">KB-S1</t>
  </si>
  <si>
    <t xml:space="preserve">Golden image build &amp; monthly patch (Nerdio)</t>
  </si>
  <si>
    <t xml:space="preserve">KB-S2</t>
  </si>
  <si>
    <t xml:space="preserve">FSLogix profile lifecycle (create/snapshot/restore/deprovision)</t>
  </si>
  <si>
    <t xml:space="preserve">KB-S3</t>
  </si>
  <si>
    <t xml:space="preserve">CA BYOD vs corporate troubleshooting</t>
  </si>
  <si>
    <t xml:space="preserve">KB-S4</t>
  </si>
  <si>
    <t xml:space="preserve">Windows App onboarding (corporate + BYOD)</t>
  </si>
  <si>
    <t xml:space="preserve">KB-S5</t>
  </si>
  <si>
    <t xml:space="preserve">Host pool scaling / capacity management</t>
  </si>
  <si>
    <t xml:space="preserve">KB-E1</t>
  </si>
  <si>
    <t xml:space="preserve">ES midnight reset operation</t>
  </si>
  <si>
    <t xml:space="preserve">KB-E2</t>
  </si>
  <si>
    <t xml:space="preserve">ES off-site connectivity (any Wi-Fi) + filtering</t>
  </si>
  <si>
    <t xml:space="preserve">KB-E3</t>
  </si>
  <si>
    <t xml:space="preserve">Eskilled access (ES)</t>
  </si>
  <si>
    <t xml:space="preserve">KB-P1</t>
  </si>
  <si>
    <t xml:space="preserve">Privileged Access request &amp; approval (Priv zz / High-Priv xy)</t>
  </si>
  <si>
    <t xml:space="preserve">Cyber / Identity</t>
  </si>
  <si>
    <t xml:space="preserve">KB-P2</t>
  </si>
  <si>
    <t xml:space="preserve">PIM elevation per tier (production access)</t>
  </si>
  <si>
    <t xml:space="preserve">KB-P3</t>
  </si>
  <si>
    <t xml:space="preserve">YubiKey 5C NFC FIPS enrolment</t>
  </si>
  <si>
    <t xml:space="preserve">KB-P4</t>
  </si>
  <si>
    <t xml:space="preserve">Privileged image build &amp; hardening</t>
  </si>
  <si>
    <t xml:space="preserve">Cloud / Cyber</t>
  </si>
  <si>
    <t xml:space="preserve">KB-D1</t>
  </si>
  <si>
    <t xml:space="preserve">AIB image pipeline + rollback</t>
  </si>
  <si>
    <t xml:space="preserve">PDE owner (TBC)</t>
  </si>
  <si>
    <t xml:space="preserve">Platform</t>
  </si>
  <si>
    <t xml:space="preserve">KB-D2</t>
  </si>
  <si>
    <t xml:space="preserve">Dev self-service tooling (winget / Company Portal)</t>
  </si>
  <si>
    <t xml:space="preserve">KB-D3</t>
  </si>
  <si>
    <t xml:space="preserve">MCP server request / allowlist</t>
  </si>
  <si>
    <t xml:space="preserve">KB-D4</t>
  </si>
  <si>
    <t xml:space="preserve">OIDC deployment pipeline request</t>
  </si>
  <si>
    <t xml:space="preserve">KB-D5</t>
  </si>
  <si>
    <t xml:space="preserve">FSLogix profile recovery (Dev)</t>
  </si>
  <si>
    <t xml:space="preserve">KB-SD1</t>
  </si>
  <si>
    <t xml:space="preserve">Tier-1 Service Desk triage runbooks (all use cases)</t>
  </si>
  <si>
    <t xml:space="preserve">Assumptions, Risks &amp; Open Decisions</t>
  </si>
  <si>
    <t xml:space="preserve">#</t>
  </si>
  <si>
    <t xml:space="preserve">Risk / Assumption / Open decision</t>
  </si>
  <si>
    <t xml:space="preserve">Impact</t>
  </si>
  <si>
    <t xml:space="preserve">Likelihood</t>
  </si>
  <si>
    <t xml:space="preserve">Owner</t>
  </si>
  <si>
    <t xml:space="preserve">Mitigation / Recommendation</t>
  </si>
  <si>
    <t xml:space="preserve">Five AVD use cases + national device rollout in 14 weeks, with Shaun as the single build engineer, does not fit. Developer is now last and its GA lands in mid-October, past the 30 Sep contract end.</t>
  </si>
  <si>
    <t xml:space="preserve">High</t>
  </si>
  <si>
    <t xml:space="preserve">Murray Thomas / Twiki</t>
  </si>
  <si>
    <t xml:space="preserve">Commit Network + Job Seeker + Standard User + ES. Treat Privileged and Developer as stretch. Add a second engineer, or scope Developer to design + pilot only by 30 Sep with GA after.</t>
  </si>
  <si>
    <t xml:space="preserve">Network skills gap caused the 30 Jun miss. Network is on the critical path from day one.</t>
  </si>
  <si>
    <t xml:space="preserve">Med</t>
  </si>
  <si>
    <t xml:space="preserve">Michael Court / Michael Webster</t>
  </si>
  <si>
    <t xml:space="preserve">Twiki leads Azure foundation. Confirm APM Network resourcing for the site build this week. Daily stand-up until network is proven.</t>
  </si>
  <si>
    <t xml:space="preserve">Privileged Access is a net-new design (PAW-style, two tiers zz/xy, YubiKey) added mid-window. It carries the production-access blast-radius risk.</t>
  </si>
  <si>
    <t xml:space="preserve">Shaun / Ugbaad / Jensen Spencer</t>
  </si>
  <si>
    <t xml:space="preserve">Design once, gate hard on YubiKey. Jensen Spencer signs off the privileged model. Do not cut over high-priv until P6 (YubiKey validated) and P8 (CA/PIM) pass.</t>
  </si>
  <si>
    <t xml:space="preserve">YubiKey 5C NFC FIPS now gates Privileged production access for zz/xy. If it fails, no phishing-resistant path to production from Macs.</t>
  </si>
  <si>
    <t xml:space="preserve">Shaun / Ugbaad Adani</t>
  </si>
  <si>
    <t xml:space="preserve">Run the YubiKey test early (week of 17 Aug). Fallback to a dedicated hardened Cloud PC for the highest tier if FIPS keys do not validate.</t>
  </si>
  <si>
    <t xml:space="preserve">ES take-home (was CTA) breaks the site-VLAN / PSK / site-Zscaler controls Job Seeker relies on. It is a security redesign, now 3rd in order.</t>
  </si>
  <si>
    <t xml:space="preserve">Treat ES as its own design (Zscaler client on device, revised CA, any Wi-Fi, midnight reset). Confirm Eskilled access path with Claire McArdle.</t>
  </si>
  <si>
    <t xml:space="preserve">Developer is a separate permissive image (limited blocks, no production path). Production access lives only in the Privileged image.</t>
  </si>
  <si>
    <t xml:space="preserve">Low</t>
  </si>
  <si>
    <t xml:space="preserve">Shaun / Samit Chandra</t>
  </si>
  <si>
    <t xml:space="preserve">Keep the boundary clean: no production scopes on the Dev pool. Samit Chandra signs off Dev requirements.</t>
  </si>
  <si>
    <t xml:space="preserve">Standard User printing (DR-010) and mapped drive (DR-011) still pending. Both gate the SU build.</t>
  </si>
  <si>
    <t xml:space="preserve">Michael Barker / Nick Dorbie</t>
  </si>
  <si>
    <t xml:space="preserve">Force decisions by 24 Jul. Universal Print is the likely path. Confirm mapped-drive backend (SharePoint / Azure Files / on-prem).</t>
  </si>
  <si>
    <t xml:space="preserve">Job Seeker device count inconsistent across the DDD (517 vs 540).</t>
  </si>
  <si>
    <t xml:space="preserve">Dave Badger / Nick Dorbie</t>
  </si>
  <si>
    <t xml:space="preserve">Reconcile against SoftwareOne licensing (540) and the site allocation list before procurement and rollout.</t>
  </si>
  <si>
    <t xml:space="preserve">Nerdio assumed already deployed and operational. Standard User, ES and Developer all reuse it.</t>
  </si>
  <si>
    <t xml:space="preserve">Shaun / Michael Webster</t>
  </si>
  <si>
    <t xml:space="preserve">Confirm Nerdio is live in the tenant. If not, add a deployment task that gates the Job Seeker AVD build.</t>
  </si>
  <si>
    <t xml:space="preserve">Developer PDE owner not yet named. Gates Dev pilot, image approval and the Dev service catalogue.</t>
  </si>
  <si>
    <t xml:space="preserve">Murray Thomas / Michael Barker</t>
  </si>
  <si>
    <t xml:space="preserve">Nominate the APM PDE owner now so Dev pilot and KB validation have an APM stakeholder.</t>
  </si>
  <si>
    <t xml:space="preserve">Contract ends 30 Sep. Privileged lands on the final week and Developer past it, with no buffer.</t>
  </si>
  <si>
    <t xml:space="preserve">Agree what 'done by 30 Sep' means per use case: live, piloted, or designed. Privileged live by 30 Sep is achievable only if it is protected from descoping.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</si>
</sst>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"/>
    <numFmt numFmtId="166" formatCode="dd\-mmm\-yy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5496"/>
        <bgColor rgb="FF455A64"/>
      </patternFill>
    </fill>
    <fill>
      <patternFill patternType="solid">
        <fgColor rgb="FF37474F"/>
        <bgColor rgb="FF455A64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2E5496"/>
      </patternFill>
    </fill>
    <fill>
      <patternFill patternType="solid">
        <fgColor rgb="FFE65100"/>
        <bgColor rgb="FFEF5350"/>
      </patternFill>
    </fill>
    <fill>
      <patternFill patternType="solid">
        <fgColor rgb="FFB71C1C"/>
        <bgColor rgb="FFC00000"/>
      </patternFill>
    </fill>
    <fill>
      <patternFill patternType="solid">
        <fgColor rgb="FF6A1B9A"/>
        <bgColor rgb="FF800080"/>
      </patternFill>
    </fill>
    <fill>
      <patternFill patternType="solid">
        <fgColor rgb="FF00695C"/>
        <bgColor rgb="FF008080"/>
      </patternFill>
    </fill>
    <fill>
      <patternFill patternType="solid">
        <fgColor rgb="FF455A64"/>
        <bgColor rgb="FF37474F"/>
      </patternFill>
    </fill>
    <fill>
      <patternFill patternType="solid">
        <fgColor rgb="FFE2EFDA"/>
        <bgColor rgb="FFE2E2E2"/>
      </patternFill>
    </fill>
    <fill>
      <patternFill patternType="solid">
        <fgColor rgb="FFF4A6A6"/>
        <bgColor rgb="FFFFB74D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375623"/>
        </patternFill>
      </fill>
    </dxf>
    <dxf>
      <fill>
        <patternFill>
          <bgColor rgb="FFC00000"/>
        </patternFill>
      </fill>
    </dxf>
    <dxf>
      <fill>
        <patternFill>
          <bgColor rgb="FF90A4AE"/>
        </patternFill>
      </fill>
    </dxf>
    <dxf>
      <fill>
        <patternFill>
          <bgColor rgb="FF81C784"/>
        </patternFill>
      </fill>
    </dxf>
    <dxf>
      <fill>
        <patternFill>
          <bgColor rgb="FF64B5F6"/>
        </patternFill>
      </fill>
    </dxf>
    <dxf>
      <fill>
        <patternFill>
          <bgColor rgb="FFFFB74D"/>
        </patternFill>
      </fill>
    </dxf>
    <dxf>
      <fill>
        <patternFill>
          <bgColor rgb="FFEF5350"/>
        </patternFill>
      </fill>
    </dxf>
    <dxf>
      <fill>
        <patternFill>
          <bgColor rgb="FFBA68C8"/>
        </patternFill>
      </fill>
    </dxf>
    <dxf>
      <fill>
        <patternFill>
          <bgColor rgb="FF4DB6AC"/>
        </patternFill>
      </fill>
    </dxf>
    <dxf>
      <fill>
        <patternFill>
          <bgColor rgb="FFB0BEC5"/>
        </patternFill>
      </fill>
    </dxf>
    <dxf>
      <fill>
        <patternFill>
          <bgColor rgb="FFE2E2E2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8787"/>
      <rgbColor rgb="FF6A1B9A"/>
      <rgbColor rgb="FF00695C"/>
      <rgbColor rgb="FFBFBFBF"/>
      <rgbColor rgb="FF808080"/>
      <rgbColor rgb="FF64B5F6"/>
      <rgbColor rgb="FFC0504D"/>
      <rgbColor rgb="FFFFF2CC"/>
      <rgbColor rgb="FFE2E2E2"/>
      <rgbColor rgb="FF660066"/>
      <rgbColor rgb="FFEF535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B0BEC5"/>
      <rgbColor rgb="FFF4A6A6"/>
      <rgbColor rgb="FFBA68C8"/>
      <rgbColor rgb="FFFFB74D"/>
      <rgbColor rgb="FF3366FF"/>
      <rgbColor rgb="FF4DB6AC"/>
      <rgbColor rgb="FF81C784"/>
      <rgbColor rgb="FFFFC000"/>
      <rgbColor rgb="FFFF9900"/>
      <rgbColor rgb="FFE65100"/>
      <rgbColor rgb="FF455A64"/>
      <rgbColor rgb="FF90A4AE"/>
      <rgbColor rgb="FF1F3864"/>
      <rgbColor rgb="FF2E7D32"/>
      <rgbColor rgb="FF003300"/>
      <rgbColor rgb="FF375623"/>
      <rgbColor rgb="FFB71C1C"/>
      <rgbColor rgb="FF993366"/>
      <rgbColor rgb="FF2E5496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AVD Program Gantt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'Program Plan'!AI4</c:f>
              <c:strCache>
                <c:ptCount val="1"/>
                <c:pt idx="0">
                  <c:v/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cat>
            <c:strRef>
              <c:f>'Program Plan'!$D$5:$D$87</c:f>
              <c:strCache>
                <c:ptCount val="83"/>
                <c:pt idx="0">
                  <c:v>Repurpose JS VLAN to APM-KIOSK (VLAN 73), hidden SSID + PSK via Intune</c:v>
                </c:pt>
                <c:pt idx="1">
                  <c:v>Meraki per-site /26 template, 20Mbps, remove CAPTCHA</c:v>
                </c:pt>
                <c:pt idx="2">
                  <c:v>Palo Alto east-west firewall rules (kiosk to AVD, deny-all)</c:v>
                </c:pt>
                <c:pt idx="3">
                  <c:v>Zscaler IPSEC tunnel (Stratus) cutover from ZCC</c:v>
                </c:pt>
                <c:pt idx="4">
                  <c:v>MILESTONE: Network build target</c:v>
                </c:pt>
                <c:pt idx="5">
                  <c:v>Hub VNet - DNS Private Resolver, NAT GW, shared services</c:v>
                </c:pt>
                <c:pt idx="6">
                  <c:v>AVD spoke VNet, NSGs, private endpoints (KV/Files/Func)</c:v>
                </c:pt>
                <c:pt idx="7">
                  <c:v>DNS Private Resolver zones + FQDN allowlist validation</c:v>
                </c:pt>
                <c:pt idx="8">
                  <c:v>Test network end-to-end (AVD FQDNs, Key Vault, Zscaler path)</c:v>
                </c:pt>
                <c:pt idx="9">
                  <c:v>Network As-Built document</c:v>
                </c:pt>
                <c:pt idx="10">
                  <c:v>Patternise reusable Azure hub-spoke build template</c:v>
                </c:pt>
                <c:pt idx="11">
                  <c:v>MILESTONE: Network ready + patternised</c:v>
                </c:pt>
                <c:pt idx="12">
                  <c:v>Nerdio host pool HP-APM-Kiosk + golden image (Win11 IoT/Ent)</c:v>
                </c:pt>
                <c:pt idx="13">
                  <c:v>Entra groups + F3 account runbook + Key Vault + Credential Proxy + Hybrid Worker</c:v>
                </c:pt>
                <c:pt idx="14">
                  <c:v>Conditional Access (device-bound, web-only, block non-Win/web client)</c:v>
                </c:pt>
                <c:pt idx="15">
                  <c:v>Shell Launcher + Windows App + Autopilot self-deploying profile</c:v>
                </c:pt>
                <c:pt idx="16">
                  <c:v>Lock screen proactive remediation (password + wallpaper)</c:v>
                </c:pt>
                <c:pt idx="17">
                  <c:v>Test device on test network</c:v>
                </c:pt>
                <c:pt idx="18">
                  <c:v>Test device on test + production network</c:v>
                </c:pt>
                <c:pt idx="19">
                  <c:v>MILESTONE: Test device validated on both networks</c:v>
                </c:pt>
                <c:pt idx="20">
                  <c:v>Finalise CompNow build instructions (wipe/prep/Autopilot/label/ship)</c:v>
                </c:pt>
                <c:pt idx="21">
                  <c:v>CompNow tests build process</c:v>
                </c:pt>
                <c:pt idx="22">
                  <c:v>Two team members test order-to-delivery end to end</c:v>
                </c:pt>
                <c:pt idx="23">
                  <c:v>MILESTONE: Build process proven end to end</c:v>
                </c:pt>
                <c:pt idx="24">
                  <c:v>Pilot 5-10 devices across 2-3 sites</c:v>
                </c:pt>
                <c:pt idx="25">
                  <c:v>Site network cutover JS to APM-KIOSK (rolling, per site)</c:v>
                </c:pt>
                <c:pt idx="26">
                  <c:v>Onsite device test</c:v>
                </c:pt>
                <c:pt idx="27">
                  <c:v>National rollout (~517 devices, rolling)</c:v>
                </c:pt>
                <c:pt idx="28">
                  <c:v>MILESTONE: Job Seeker national rollout complete</c:v>
                </c:pt>
                <c:pt idx="29">
                  <c:v>Document current Intune laptop SOE + Autopilot (14 policies)</c:v>
                </c:pt>
                <c:pt idx="30">
                  <c:v>Close DR-010 printing + DR-011 mapped drive decisions</c:v>
                </c:pt>
                <c:pt idx="31">
                  <c:v>Finalise DDD V1.0 + CAB</c:v>
                </c:pt>
                <c:pt idx="32">
                  <c:v>MILESTONE: Standard User DDD approved</c:v>
                </c:pt>
                <c:pt idx="33">
                  <c:v>Entra groups (corp/BYOD/hosts) + CA (block unmanaged, allow Windows App, context groups)</c:v>
                </c:pt>
                <c:pt idx="34">
                  <c:v>Azure Files Premium FSLogix + Entra Kerberos</c:v>
                </c:pt>
                <c:pt idx="35">
                  <c:v>Compute Gallery + golden image (multi-session, M365, Teams optimised)</c:v>
                </c:pt>
                <c:pt idx="36">
                  <c:v>Nerdio pooled host pool + corp/BYOD app groups + autoscale</c:v>
                </c:pt>
                <c:pt idx="37">
                  <c:v>Scope 14 Intune policies + AVD profiles to session hosts</c:v>
                </c:pt>
                <c:pt idx="38">
                  <c:v>Pilot 25-50 users (mixed personas)</c:v>
                </c:pt>
                <c:pt idx="39">
                  <c:v>Validate CA from corporate + personal device</c:v>
                </c:pt>
                <c:pt idx="40">
                  <c:v>Production rollout (entitle staff, comms, Windows App self-serve)</c:v>
                </c:pt>
                <c:pt idx="41">
                  <c:v>MILESTONE: Standard User AVD GA</c:v>
                </c:pt>
                <c:pt idx="42">
                  <c:v>Adapt JS image: midnight daily reset (vs 10-min inactivity)</c:v>
                </c:pt>
                <c:pt idx="43">
                  <c:v>Redesign take-home: any Wi-Fi, off-site filtering (Zscaler client on device), revised CA</c:v>
                </c:pt>
                <c:pt idx="44">
                  <c:v>ES DDD + CAB</c:v>
                </c:pt>
                <c:pt idx="45">
                  <c:v>MILESTONE: ES DDD approved</c:v>
                </c:pt>
                <c:pt idx="46">
                  <c:v>Build ES image/profiles (midnight reset, incl. Eskilled folder)</c:v>
                </c:pt>
                <c:pt idx="47">
                  <c:v>Test off-site scenarios (home Wi-Fi, reset, filtering)</c:v>
                </c:pt>
                <c:pt idx="48">
                  <c:v>Pilot + rollout (take-home devices)</c:v>
                </c:pt>
                <c:pt idx="49">
                  <c:v>MILESTONE: ES live</c:v>
                </c:pt>
                <c:pt idx="50">
                  <c:v>Privileged design: PAW-style hardened image (no mail/Teams/browse), two tiers Priv(zz)/High-Priv(xy)</c:v>
                </c:pt>
                <c:pt idx="51">
                  <c:v>Production access model: PIM per tier, just-in-time elevation, approval + audit</c:v>
                </c:pt>
                <c:pt idx="52">
                  <c:v>Privileged Access DDD + CAB</c:v>
                </c:pt>
                <c:pt idx="53">
                  <c:v>MILESTONE: Privileged DDD approved</c:v>
                </c:pt>
                <c:pt idx="54">
                  <c:v>Test YubiKey 5C NFC FIPS (phishing-resistant MFA for zz/xy)</c:v>
                </c:pt>
                <c:pt idx="55">
                  <c:v>MILESTONE: YubiKey 5C NFC FIPS validated</c:v>
                </c:pt>
                <c:pt idx="56">
                  <c:v>Build hardened Privileged image + secure pool</c:v>
                </c:pt>
                <c:pt idx="57">
                  <c:v>CA + PIM for Priv(zz) &amp; High-Priv(xy) production scopes; YubiKey-only sign-in</c:v>
                </c:pt>
                <c:pt idx="58">
                  <c:v>Pilot privileged users (both tiers) + validate prod access via YubiKey</c:v>
                </c:pt>
                <c:pt idx="59">
                  <c:v>MILESTONE: Privileged Access live (zz + xy)</c:v>
                </c:pt>
                <c:pt idx="60">
                  <c:v>Finalise Dev DDD: permissive dev image, limited blocks, no production-access path</c:v>
                </c:pt>
                <c:pt idx="61">
                  <c:v>Design Dev network from JS pattern + adjust (deny-by-default egress, Zscaler at endpoint)</c:v>
                </c:pt>
                <c:pt idx="62">
                  <c:v>AVD landing zone (Bicep) + FSLogix Premium ZRS + Sentinel + Entra groups</c:v>
                </c:pt>
                <c:pt idx="63">
                  <c:v>AIB image pipeline (Git template, signing, SBOM)</c:v>
                </c:pt>
                <c:pt idx="64">
                  <c:v>Primary pooled host pool + scaling plan (nested virtualisation)</c:v>
                </c:pt>
                <c:pt idx="65">
                  <c:v>Dev tooling layers (VS, Podman/containers, WSL2) with limited blocks</c:v>
                </c:pt>
                <c:pt idx="66">
                  <c:v>Pilot ring (PDE owner + cohort) + smoke test + CA enforced</c:v>
                </c:pt>
                <c:pt idx="67">
                  <c:v>Team-by-team migration from legacy PDE</c:v>
                </c:pt>
                <c:pt idx="68">
                  <c:v>Capability phases 2-3 (winget/ACR; Copilot/MCP/local LLM)</c:v>
                </c:pt>
                <c:pt idx="69">
                  <c:v>Retire legacy PDE after 1 month stable</c:v>
                </c:pt>
                <c:pt idx="70">
                  <c:v>MILESTONE: Developer SOE GA (past 30 Sep on current resourcing)</c:v>
                </c:pt>
                <c:pt idx="71">
                  <c:v>Retrieve old JS devices onsite + place new (rolling)</c:v>
                </c:pt>
                <c:pt idx="72">
                  <c:v>Asset register updates (ongoing)</c:v>
                </c:pt>
                <c:pt idx="73">
                  <c:v>Retrieve standard-user laptops as AVD replaces</c:v>
                </c:pt>
                <c:pt idx="74">
                  <c:v>Retrieve/contract high-priv laptops to users on own Macs (via Privileged image)</c:v>
                </c:pt>
                <c:pt idx="75">
                  <c:v>KB: APM-KIOSK build/cutover + Azure hub-spoke pattern</c:v>
                </c:pt>
                <c:pt idx="76">
                  <c:v>KB: CompNow wipe/prep/ship process</c:v>
                </c:pt>
                <c:pt idx="77">
                  <c:v>KB: JS ops (password rotation, lock screen, site cutover, device replace)</c:v>
                </c:pt>
                <c:pt idx="78">
                  <c:v>KB: image/patch, FSLogix lifecycle, CA BYOD, Windows App onboarding</c:v>
                </c:pt>
                <c:pt idx="79">
                  <c:v>KB: ES midnight reset, off-site connectivity, Eskilled access</c:v>
                </c:pt>
                <c:pt idx="80">
                  <c:v>KB: Privileged access request, PIM per tier (zz/xy), YubiKey enrolment</c:v>
                </c:pt>
                <c:pt idx="81">
                  <c:v>KB: Dev image pipeline/rollback, self-service tooling, MCP request, FSLogix recovery</c:v>
                </c:pt>
                <c:pt idx="82">
                  <c:v>KB: Tier-1 Service Desk triage runbooks (all use cases)</c:v>
                </c:pt>
              </c:strCache>
            </c:strRef>
          </c:cat>
          <c:val>
            <c:numRef>
              <c:f>'Program Plan'!$AI$5:$AI$87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'Program Plan'!AJ4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cat>
            <c:strRef>
              <c:f>'Program Plan'!$D$5:$D$87</c:f>
              <c:strCache>
                <c:ptCount val="83"/>
                <c:pt idx="0">
                  <c:v>Repurpose JS VLAN to APM-KIOSK (VLAN 73), hidden SSID + PSK via Intune</c:v>
                </c:pt>
                <c:pt idx="1">
                  <c:v>Meraki per-site /26 template, 20Mbps, remove CAPTCHA</c:v>
                </c:pt>
                <c:pt idx="2">
                  <c:v>Palo Alto east-west firewall rules (kiosk to AVD, deny-all)</c:v>
                </c:pt>
                <c:pt idx="3">
                  <c:v>Zscaler IPSEC tunnel (Stratus) cutover from ZCC</c:v>
                </c:pt>
                <c:pt idx="4">
                  <c:v>MILESTONE: Network build target</c:v>
                </c:pt>
                <c:pt idx="5">
                  <c:v>Hub VNet - DNS Private Resolver, NAT GW, shared services</c:v>
                </c:pt>
                <c:pt idx="6">
                  <c:v>AVD spoke VNet, NSGs, private endpoints (KV/Files/Func)</c:v>
                </c:pt>
                <c:pt idx="7">
                  <c:v>DNS Private Resolver zones + FQDN allowlist validation</c:v>
                </c:pt>
                <c:pt idx="8">
                  <c:v>Test network end-to-end (AVD FQDNs, Key Vault, Zscaler path)</c:v>
                </c:pt>
                <c:pt idx="9">
                  <c:v>Network As-Built document</c:v>
                </c:pt>
                <c:pt idx="10">
                  <c:v>Patternise reusable Azure hub-spoke build template</c:v>
                </c:pt>
                <c:pt idx="11">
                  <c:v>MILESTONE: Network ready + patternised</c:v>
                </c:pt>
                <c:pt idx="12">
                  <c:v>Nerdio host pool HP-APM-Kiosk + golden image (Win11 IoT/Ent)</c:v>
                </c:pt>
                <c:pt idx="13">
                  <c:v>Entra groups + F3 account runbook + Key Vault + Credential Proxy + Hybrid Worker</c:v>
                </c:pt>
                <c:pt idx="14">
                  <c:v>Conditional Access (device-bound, web-only, block non-Win/web client)</c:v>
                </c:pt>
                <c:pt idx="15">
                  <c:v>Shell Launcher + Windows App + Autopilot self-deploying profile</c:v>
                </c:pt>
                <c:pt idx="16">
                  <c:v>Lock screen proactive remediation (password + wallpaper)</c:v>
                </c:pt>
                <c:pt idx="17">
                  <c:v>Test device on test network</c:v>
                </c:pt>
                <c:pt idx="18">
                  <c:v>Test device on test + production network</c:v>
                </c:pt>
                <c:pt idx="19">
                  <c:v>MILESTONE: Test device validated on both networks</c:v>
                </c:pt>
                <c:pt idx="20">
                  <c:v>Finalise CompNow build instructions (wipe/prep/Autopilot/label/ship)</c:v>
                </c:pt>
                <c:pt idx="21">
                  <c:v>CompNow tests build process</c:v>
                </c:pt>
                <c:pt idx="22">
                  <c:v>Two team members test order-to-delivery end to end</c:v>
                </c:pt>
                <c:pt idx="23">
                  <c:v>MILESTONE: Build process proven end to end</c:v>
                </c:pt>
                <c:pt idx="24">
                  <c:v>Pilot 5-10 devices across 2-3 sites</c:v>
                </c:pt>
                <c:pt idx="25">
                  <c:v>Site network cutover JS to APM-KIOSK (rolling, per site)</c:v>
                </c:pt>
                <c:pt idx="26">
                  <c:v>Onsite device test</c:v>
                </c:pt>
                <c:pt idx="27">
                  <c:v>National rollout (~517 devices, rolling)</c:v>
                </c:pt>
                <c:pt idx="28">
                  <c:v>MILESTONE: Job Seeker national rollout complete</c:v>
                </c:pt>
                <c:pt idx="29">
                  <c:v>Document current Intune laptop SOE + Autopilot (14 policies)</c:v>
                </c:pt>
                <c:pt idx="30">
                  <c:v>Close DR-010 printing + DR-011 mapped drive decisions</c:v>
                </c:pt>
                <c:pt idx="31">
                  <c:v>Finalise DDD V1.0 + CAB</c:v>
                </c:pt>
                <c:pt idx="32">
                  <c:v>MILESTONE: Standard User DDD approved</c:v>
                </c:pt>
                <c:pt idx="33">
                  <c:v>Entra groups (corp/BYOD/hosts) + CA (block unmanaged, allow Windows App, context groups)</c:v>
                </c:pt>
                <c:pt idx="34">
                  <c:v>Azure Files Premium FSLogix + Entra Kerberos</c:v>
                </c:pt>
                <c:pt idx="35">
                  <c:v>Compute Gallery + golden image (multi-session, M365, Teams optimised)</c:v>
                </c:pt>
                <c:pt idx="36">
                  <c:v>Nerdio pooled host pool + corp/BYOD app groups + autoscale</c:v>
                </c:pt>
                <c:pt idx="37">
                  <c:v>Scope 14 Intune policies + AVD profiles to session hosts</c:v>
                </c:pt>
                <c:pt idx="38">
                  <c:v>Pilot 25-50 users (mixed personas)</c:v>
                </c:pt>
                <c:pt idx="39">
                  <c:v>Validate CA from corporate + personal device</c:v>
                </c:pt>
                <c:pt idx="40">
                  <c:v>Production rollout (entitle staff, comms, Windows App self-serve)</c:v>
                </c:pt>
                <c:pt idx="41">
                  <c:v>MILESTONE: Standard User AVD GA</c:v>
                </c:pt>
                <c:pt idx="42">
                  <c:v>Adapt JS image: midnight daily reset (vs 10-min inactivity)</c:v>
                </c:pt>
                <c:pt idx="43">
                  <c:v>Redesign take-home: any Wi-Fi, off-site filtering (Zscaler client on device), revised CA</c:v>
                </c:pt>
                <c:pt idx="44">
                  <c:v>ES DDD + CAB</c:v>
                </c:pt>
                <c:pt idx="45">
                  <c:v>MILESTONE: ES DDD approved</c:v>
                </c:pt>
                <c:pt idx="46">
                  <c:v>Build ES image/profiles (midnight reset, incl. Eskilled folder)</c:v>
                </c:pt>
                <c:pt idx="47">
                  <c:v>Test off-site scenarios (home Wi-Fi, reset, filtering)</c:v>
                </c:pt>
                <c:pt idx="48">
                  <c:v>Pilot + rollout (take-home devices)</c:v>
                </c:pt>
                <c:pt idx="49">
                  <c:v>MILESTONE: ES live</c:v>
                </c:pt>
                <c:pt idx="50">
                  <c:v>Privileged design: PAW-style hardened image (no mail/Teams/browse), two tiers Priv(zz)/High-Priv(xy)</c:v>
                </c:pt>
                <c:pt idx="51">
                  <c:v>Production access model: PIM per tier, just-in-time elevation, approval + audit</c:v>
                </c:pt>
                <c:pt idx="52">
                  <c:v>Privileged Access DDD + CAB</c:v>
                </c:pt>
                <c:pt idx="53">
                  <c:v>MILESTONE: Privileged DDD approved</c:v>
                </c:pt>
                <c:pt idx="54">
                  <c:v>Test YubiKey 5C NFC FIPS (phishing-resistant MFA for zz/xy)</c:v>
                </c:pt>
                <c:pt idx="55">
                  <c:v>MILESTONE: YubiKey 5C NFC FIPS validated</c:v>
                </c:pt>
                <c:pt idx="56">
                  <c:v>Build hardened Privileged image + secure pool</c:v>
                </c:pt>
                <c:pt idx="57">
                  <c:v>CA + PIM for Priv(zz) &amp; High-Priv(xy) production scopes; YubiKey-only sign-in</c:v>
                </c:pt>
                <c:pt idx="58">
                  <c:v>Pilot privileged users (both tiers) + validate prod access via YubiKey</c:v>
                </c:pt>
                <c:pt idx="59">
                  <c:v>MILESTONE: Privileged Access live (zz + xy)</c:v>
                </c:pt>
                <c:pt idx="60">
                  <c:v>Finalise Dev DDD: permissive dev image, limited blocks, no production-access path</c:v>
                </c:pt>
                <c:pt idx="61">
                  <c:v>Design Dev network from JS pattern + adjust (deny-by-default egress, Zscaler at endpoint)</c:v>
                </c:pt>
                <c:pt idx="62">
                  <c:v>AVD landing zone (Bicep) + FSLogix Premium ZRS + Sentinel + Entra groups</c:v>
                </c:pt>
                <c:pt idx="63">
                  <c:v>AIB image pipeline (Git template, signing, SBOM)</c:v>
                </c:pt>
                <c:pt idx="64">
                  <c:v>Primary pooled host pool + scaling plan (nested virtualisation)</c:v>
                </c:pt>
                <c:pt idx="65">
                  <c:v>Dev tooling layers (VS, Podman/containers, WSL2) with limited blocks</c:v>
                </c:pt>
                <c:pt idx="66">
                  <c:v>Pilot ring (PDE owner + cohort) + smoke test + CA enforced</c:v>
                </c:pt>
                <c:pt idx="67">
                  <c:v>Team-by-team migration from legacy PDE</c:v>
                </c:pt>
                <c:pt idx="68">
                  <c:v>Capability phases 2-3 (winget/ACR; Copilot/MCP/local LLM)</c:v>
                </c:pt>
                <c:pt idx="69">
                  <c:v>Retire legacy PDE after 1 month stable</c:v>
                </c:pt>
                <c:pt idx="70">
                  <c:v>MILESTONE: Developer SOE GA (past 30 Sep on current resourcing)</c:v>
                </c:pt>
                <c:pt idx="71">
                  <c:v>Retrieve old JS devices onsite + place new (rolling)</c:v>
                </c:pt>
                <c:pt idx="72">
                  <c:v>Asset register updates (ongoing)</c:v>
                </c:pt>
                <c:pt idx="73">
                  <c:v>Retrieve standard-user laptops as AVD replaces</c:v>
                </c:pt>
                <c:pt idx="74">
                  <c:v>Retrieve/contract high-priv laptops to users on own Macs (via Privileged image)</c:v>
                </c:pt>
                <c:pt idx="75">
                  <c:v>KB: APM-KIOSK build/cutover + Azure hub-spoke pattern</c:v>
                </c:pt>
                <c:pt idx="76">
                  <c:v>KB: CompNow wipe/prep/ship process</c:v>
                </c:pt>
                <c:pt idx="77">
                  <c:v>KB: JS ops (password rotation, lock screen, site cutover, device replace)</c:v>
                </c:pt>
                <c:pt idx="78">
                  <c:v>KB: image/patch, FSLogix lifecycle, CA BYOD, Windows App onboarding</c:v>
                </c:pt>
                <c:pt idx="79">
                  <c:v>KB: ES midnight reset, off-site connectivity, Eskilled access</c:v>
                </c:pt>
                <c:pt idx="80">
                  <c:v>KB: Privileged access request, PIM per tier (zz/xy), YubiKey enrolment</c:v>
                </c:pt>
                <c:pt idx="81">
                  <c:v>KB: Dev image pipeline/rollback, self-service tooling, MCP request, FSLogix recovery</c:v>
                </c:pt>
                <c:pt idx="82">
                  <c:v>KB: Tier-1 Service Desk triage runbooks (all use cases)</c:v>
                </c:pt>
              </c:strCache>
            </c:strRef>
          </c:cat>
          <c:val>
            <c:numRef>
              <c:f>'Program Plan'!$AJ$5:$AJ$87</c:f>
              <c:numCache>
                <c:formatCode>General</c:formatCode>
                <c:ptCount val="0"/>
              </c:numCache>
            </c:numRef>
          </c:val>
        </c:ser>
        <c:gapWidth val="150"/>
        <c:overlap val="100"/>
        <c:axId val="22614033"/>
        <c:axId val="52059632"/>
      </c:barChart>
      <c:catAx>
        <c:axId val="2261403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59632"/>
        <c:crosses val="autoZero"/>
        <c:auto val="1"/>
        <c:lblAlgn val="ctr"/>
        <c:lblOffset val="100"/>
        <c:noMultiLvlLbl val="0"/>
      </c:catAx>
      <c:valAx>
        <c:axId val="520596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140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17</xdr:col>
      <xdr:colOff>403920</xdr:colOff>
      <xdr:row>107</xdr:row>
      <xdr:rowOff>156960</xdr:rowOff>
    </xdr:to>
    <xdr:graphicFrame>
      <xdr:nvGraphicFramePr>
        <xdr:cNvPr id="1" name="Chart 1"/>
        <xdr:cNvGraphicFramePr/>
      </xdr:nvGraphicFramePr>
      <xdr:xfrm>
        <a:off x="0" y="380880"/>
        <a:ext cx="10799640" cy="20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Q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52"/>
    <col collapsed="false" customWidth="true" hidden="false" outlineLevel="0" max="5" min="5" style="0" width="25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33" min="17" style="0" width="4.3"/>
    <col collapsed="false" customWidth="true" hidden="true" outlineLevel="0" max="36" min="35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 t="s">
        <v>3</v>
      </c>
      <c r="R3" s="4" t="s">
        <v>4</v>
      </c>
      <c r="S3" s="4" t="s">
        <v>5</v>
      </c>
      <c r="T3" s="4" t="s">
        <v>6</v>
      </c>
      <c r="U3" s="4" t="s">
        <v>7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4" t="s">
        <v>16</v>
      </c>
      <c r="AE3" s="4" t="s">
        <v>17</v>
      </c>
      <c r="AF3" s="4" t="s">
        <v>18</v>
      </c>
      <c r="AG3" s="4" t="s">
        <v>19</v>
      </c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6" t="n">
        <v>46195</v>
      </c>
      <c r="R4" s="6" t="n">
        <v>46202</v>
      </c>
      <c r="S4" s="6" t="n">
        <v>46209</v>
      </c>
      <c r="T4" s="6" t="n">
        <v>46216</v>
      </c>
      <c r="U4" s="6" t="n">
        <v>46223</v>
      </c>
      <c r="V4" s="6" t="n">
        <v>46230</v>
      </c>
      <c r="W4" s="6" t="n">
        <v>46237</v>
      </c>
      <c r="X4" s="6" t="n">
        <v>46244</v>
      </c>
      <c r="Y4" s="6" t="n">
        <v>46251</v>
      </c>
      <c r="Z4" s="6" t="n">
        <v>46258</v>
      </c>
      <c r="AA4" s="6" t="n">
        <v>46265</v>
      </c>
      <c r="AB4" s="6" t="n">
        <v>46272</v>
      </c>
      <c r="AC4" s="6" t="n">
        <v>46279</v>
      </c>
      <c r="AD4" s="6" t="n">
        <v>46286</v>
      </c>
      <c r="AE4" s="6" t="n">
        <v>46293</v>
      </c>
      <c r="AF4" s="6" t="n">
        <v>46300</v>
      </c>
      <c r="AG4" s="6" t="n">
        <v>46307</v>
      </c>
    </row>
    <row r="5" customFormat="false" ht="15" hidden="false" customHeight="false" outlineLevel="0" collapsed="false">
      <c r="A5" s="7" t="s">
        <v>36</v>
      </c>
      <c r="B5" s="8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10" t="s">
        <v>42</v>
      </c>
      <c r="H5" s="11" t="n">
        <v>46196</v>
      </c>
      <c r="I5" s="11" t="n">
        <v>46199</v>
      </c>
      <c r="J5" s="12" t="n">
        <f aca="false">IF($O5="Milestone","",NETWORKDAYS($H5,$I5))</f>
        <v>4</v>
      </c>
      <c r="K5" s="13" t="n">
        <v>0</v>
      </c>
      <c r="L5" s="9" t="s">
        <v>43</v>
      </c>
      <c r="M5" s="14" t="str">
        <f aca="false" t="array" ref="M5:M5">IF($G5="-","",MAX(IF(ISNUMBER(SEARCH(","&amp;$A$5:$A$87&amp;",",","&amp;$G5&amp;",")),$I$5:$I$87)))</f>
        <v/>
      </c>
      <c r="N5" s="15" t="str">
        <f aca="false">IF($M5="","-",IF($H5&gt;=$M5,"OK","Overlap"))</f>
        <v>-</v>
      </c>
      <c r="O5" s="12" t="s">
        <v>23</v>
      </c>
      <c r="P5" s="16" t="s">
        <v>44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I5" s="18" t="n">
        <f aca="false">H5</f>
        <v>46196</v>
      </c>
      <c r="AJ5" s="0" t="n">
        <f aca="false">MAX(I5-H5,1)</f>
        <v>3</v>
      </c>
    </row>
    <row r="6" customFormat="false" ht="15" hidden="false" customHeight="false" outlineLevel="0" collapsed="false">
      <c r="A6" s="7" t="s">
        <v>45</v>
      </c>
      <c r="B6" s="8" t="s">
        <v>37</v>
      </c>
      <c r="C6" s="9" t="s">
        <v>38</v>
      </c>
      <c r="D6" s="9" t="s">
        <v>46</v>
      </c>
      <c r="E6" s="9" t="s">
        <v>40</v>
      </c>
      <c r="F6" s="9" t="s">
        <v>47</v>
      </c>
      <c r="G6" s="10" t="s">
        <v>42</v>
      </c>
      <c r="H6" s="11" t="n">
        <v>46196</v>
      </c>
      <c r="I6" s="11" t="n">
        <v>46199</v>
      </c>
      <c r="J6" s="12" t="n">
        <f aca="false">IF($O6="Milestone","",NETWORKDAYS($H6,$I6))</f>
        <v>4</v>
      </c>
      <c r="K6" s="13" t="n">
        <v>0</v>
      </c>
      <c r="L6" s="9" t="s">
        <v>43</v>
      </c>
      <c r="M6" s="14" t="str">
        <f aca="false" t="array" ref="M6:M6">IF($G6="-","",MAX(IF(ISNUMBER(SEARCH(","&amp;$A$5:$A$87&amp;",",","&amp;$G6&amp;",")),$I$5:$I$87)))</f>
        <v/>
      </c>
      <c r="N6" s="15" t="str">
        <f aca="false">IF($M6="","-",IF($H6&gt;=$M6,"OK","Overlap"))</f>
        <v>-</v>
      </c>
      <c r="O6" s="12" t="s">
        <v>23</v>
      </c>
      <c r="P6" s="16" t="s">
        <v>44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I6" s="18" t="n">
        <f aca="false">H6</f>
        <v>46196</v>
      </c>
      <c r="AJ6" s="0" t="n">
        <f aca="false">MAX(I6-H6,1)</f>
        <v>3</v>
      </c>
    </row>
    <row r="7" customFormat="false" ht="15" hidden="false" customHeight="false" outlineLevel="0" collapsed="false">
      <c r="A7" s="7" t="s">
        <v>48</v>
      </c>
      <c r="B7" s="8" t="s">
        <v>37</v>
      </c>
      <c r="C7" s="9" t="s">
        <v>38</v>
      </c>
      <c r="D7" s="9" t="s">
        <v>49</v>
      </c>
      <c r="E7" s="9" t="s">
        <v>40</v>
      </c>
      <c r="F7" s="9" t="s">
        <v>50</v>
      </c>
      <c r="G7" s="10" t="s">
        <v>36</v>
      </c>
      <c r="H7" s="11" t="n">
        <v>46197</v>
      </c>
      <c r="I7" s="11" t="n">
        <v>46204</v>
      </c>
      <c r="J7" s="12" t="n">
        <f aca="false">IF($O7="Milestone","",NETWORKDAYS($H7,$I7))</f>
        <v>6</v>
      </c>
      <c r="K7" s="13" t="n">
        <v>0</v>
      </c>
      <c r="L7" s="9" t="s">
        <v>51</v>
      </c>
      <c r="M7" s="14" t="n">
        <f aca="false" t="array" ref="M7:M7">IF($G7="-","",MAX(IF(ISNUMBER(SEARCH(","&amp;$A$5:$A$87&amp;",",","&amp;$G7&amp;",")),$I$5:$I$87)))</f>
        <v>46199</v>
      </c>
      <c r="N7" s="15" t="str">
        <f aca="false">IF($M7="","-",IF($H7&gt;=$M7,"OK","Overlap"))</f>
        <v>Overlap</v>
      </c>
      <c r="O7" s="12" t="s">
        <v>23</v>
      </c>
      <c r="P7" s="16" t="s">
        <v>44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I7" s="18" t="n">
        <f aca="false">H7</f>
        <v>46197</v>
      </c>
      <c r="AJ7" s="0" t="n">
        <f aca="false">MAX(I7-H7,1)</f>
        <v>7</v>
      </c>
    </row>
    <row r="8" customFormat="false" ht="15" hidden="false" customHeight="false" outlineLevel="0" collapsed="false">
      <c r="A8" s="7" t="s">
        <v>52</v>
      </c>
      <c r="B8" s="8" t="s">
        <v>37</v>
      </c>
      <c r="C8" s="9" t="s">
        <v>38</v>
      </c>
      <c r="D8" s="9" t="s">
        <v>53</v>
      </c>
      <c r="E8" s="9" t="s">
        <v>40</v>
      </c>
      <c r="F8" s="9" t="s">
        <v>50</v>
      </c>
      <c r="G8" s="10" t="s">
        <v>48</v>
      </c>
      <c r="H8" s="11" t="n">
        <v>46198</v>
      </c>
      <c r="I8" s="11" t="n">
        <v>46206</v>
      </c>
      <c r="J8" s="12" t="n">
        <f aca="false">IF($O8="Milestone","",NETWORKDAYS($H8,$I8))</f>
        <v>7</v>
      </c>
      <c r="K8" s="13" t="n">
        <v>0</v>
      </c>
      <c r="L8" s="9" t="s">
        <v>51</v>
      </c>
      <c r="M8" s="14" t="n">
        <f aca="false" t="array" ref="M8:M8">IF($G8="-","",MAX(IF(ISNUMBER(SEARCH(","&amp;$A$5:$A$87&amp;",",","&amp;$G8&amp;",")),$I$5:$I$87)))</f>
        <v>46204</v>
      </c>
      <c r="N8" s="15" t="str">
        <f aca="false">IF($M8="","-",IF($H8&gt;=$M8,"OK","Overlap"))</f>
        <v>Overlap</v>
      </c>
      <c r="O8" s="12" t="s">
        <v>23</v>
      </c>
      <c r="P8" s="16" t="s">
        <v>44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I8" s="18" t="n">
        <f aca="false">H8</f>
        <v>46198</v>
      </c>
      <c r="AJ8" s="0" t="n">
        <f aca="false">MAX(I8-H8,1)</f>
        <v>8</v>
      </c>
    </row>
    <row r="9" customFormat="false" ht="15" hidden="false" customHeight="false" outlineLevel="0" collapsed="false">
      <c r="A9" s="7" t="s">
        <v>54</v>
      </c>
      <c r="B9" s="8" t="s">
        <v>37</v>
      </c>
      <c r="C9" s="9" t="s">
        <v>38</v>
      </c>
      <c r="D9" s="7" t="s">
        <v>55</v>
      </c>
      <c r="E9" s="9" t="s">
        <v>40</v>
      </c>
      <c r="F9" s="9" t="s">
        <v>41</v>
      </c>
      <c r="G9" s="10" t="s">
        <v>56</v>
      </c>
      <c r="H9" s="11" t="n">
        <v>46199</v>
      </c>
      <c r="I9" s="11" t="n">
        <v>46199</v>
      </c>
      <c r="J9" s="12" t="str">
        <f aca="false">IF($O9="Milestone","",NETWORKDAYS($H9,$I9))</f>
        <v/>
      </c>
      <c r="K9" s="13" t="n">
        <v>0</v>
      </c>
      <c r="L9" s="9" t="s">
        <v>51</v>
      </c>
      <c r="M9" s="14" t="n">
        <f aca="false" t="array" ref="M9:M9">IF($G9="-","",MAX(IF(ISNUMBER(SEARCH(","&amp;$A$5:$A$87&amp;",",","&amp;$G9&amp;",")),$I$5:$I$87)))</f>
        <v>46199</v>
      </c>
      <c r="N9" s="15" t="str">
        <f aca="false">IF($M9="","-",IF($H9&gt;=$M9,"OK","Overlap"))</f>
        <v>OK</v>
      </c>
      <c r="O9" s="12" t="s">
        <v>57</v>
      </c>
      <c r="P9" s="16" t="s">
        <v>44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I9" s="18" t="n">
        <f aca="false">H9</f>
        <v>46199</v>
      </c>
      <c r="AJ9" s="0" t="n">
        <f aca="false">MAX(I9-H9,1)</f>
        <v>1</v>
      </c>
    </row>
    <row r="10" customFormat="false" ht="15" hidden="false" customHeight="false" outlineLevel="0" collapsed="false">
      <c r="A10" s="7" t="s">
        <v>58</v>
      </c>
      <c r="B10" s="8" t="s">
        <v>37</v>
      </c>
      <c r="C10" s="9" t="s">
        <v>59</v>
      </c>
      <c r="D10" s="9" t="s">
        <v>60</v>
      </c>
      <c r="E10" s="9" t="s">
        <v>47</v>
      </c>
      <c r="F10" s="9" t="s">
        <v>41</v>
      </c>
      <c r="G10" s="10" t="s">
        <v>42</v>
      </c>
      <c r="H10" s="11" t="n">
        <v>46196</v>
      </c>
      <c r="I10" s="11" t="n">
        <v>46206</v>
      </c>
      <c r="J10" s="12" t="n">
        <f aca="false">IF($O10="Milestone","",NETWORKDAYS($H10,$I10))</f>
        <v>9</v>
      </c>
      <c r="K10" s="13" t="n">
        <v>0</v>
      </c>
      <c r="L10" s="9" t="s">
        <v>43</v>
      </c>
      <c r="M10" s="14" t="str">
        <f aca="false" t="array" ref="M10:M10">IF($G10="-","",MAX(IF(ISNUMBER(SEARCH(","&amp;$A$5:$A$87&amp;",",","&amp;$G10&amp;",")),$I$5:$I$87)))</f>
        <v/>
      </c>
      <c r="N10" s="15" t="str">
        <f aca="false">IF($M10="","-",IF($H10&gt;=$M10,"OK","Overlap"))</f>
        <v>-</v>
      </c>
      <c r="O10" s="12" t="s">
        <v>23</v>
      </c>
      <c r="P10" s="16" t="s">
        <v>44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I10" s="18" t="n">
        <f aca="false">H10</f>
        <v>46196</v>
      </c>
      <c r="AJ10" s="0" t="n">
        <f aca="false">MAX(I10-H10,1)</f>
        <v>10</v>
      </c>
    </row>
    <row r="11" customFormat="false" ht="15" hidden="false" customHeight="false" outlineLevel="0" collapsed="false">
      <c r="A11" s="7" t="s">
        <v>61</v>
      </c>
      <c r="B11" s="8" t="s">
        <v>37</v>
      </c>
      <c r="C11" s="9" t="s">
        <v>59</v>
      </c>
      <c r="D11" s="9" t="s">
        <v>62</v>
      </c>
      <c r="E11" s="9" t="s">
        <v>41</v>
      </c>
      <c r="F11" s="9" t="s">
        <v>47</v>
      </c>
      <c r="G11" s="10" t="s">
        <v>58</v>
      </c>
      <c r="H11" s="11" t="n">
        <v>46202</v>
      </c>
      <c r="I11" s="11" t="n">
        <v>46211</v>
      </c>
      <c r="J11" s="12" t="n">
        <f aca="false">IF($O11="Milestone","",NETWORKDAYS($H11,$I11))</f>
        <v>8</v>
      </c>
      <c r="K11" s="13" t="n">
        <v>0</v>
      </c>
      <c r="L11" s="9" t="s">
        <v>51</v>
      </c>
      <c r="M11" s="14" t="n">
        <f aca="false" t="array" ref="M11:M11">IF($G11="-","",MAX(IF(ISNUMBER(SEARCH(","&amp;$A$5:$A$87&amp;",",","&amp;$G11&amp;",")),$I$5:$I$87)))</f>
        <v>46206</v>
      </c>
      <c r="N11" s="15" t="str">
        <f aca="false">IF($M11="","-",IF($H11&gt;=$M11,"OK","Overlap"))</f>
        <v>Overlap</v>
      </c>
      <c r="O11" s="12" t="s">
        <v>23</v>
      </c>
      <c r="P11" s="16" t="s">
        <v>44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I11" s="18" t="n">
        <f aca="false">H11</f>
        <v>46202</v>
      </c>
      <c r="AJ11" s="0" t="n">
        <f aca="false">MAX(I11-H11,1)</f>
        <v>9</v>
      </c>
    </row>
    <row r="12" customFormat="false" ht="15" hidden="false" customHeight="false" outlineLevel="0" collapsed="false">
      <c r="A12" s="7" t="s">
        <v>63</v>
      </c>
      <c r="B12" s="8" t="s">
        <v>37</v>
      </c>
      <c r="C12" s="9" t="s">
        <v>59</v>
      </c>
      <c r="D12" s="9" t="s">
        <v>64</v>
      </c>
      <c r="E12" s="9" t="s">
        <v>41</v>
      </c>
      <c r="F12" s="9" t="s">
        <v>40</v>
      </c>
      <c r="G12" s="10" t="s">
        <v>61</v>
      </c>
      <c r="H12" s="11" t="n">
        <v>46209</v>
      </c>
      <c r="I12" s="11" t="n">
        <v>46213</v>
      </c>
      <c r="J12" s="12" t="n">
        <f aca="false">IF($O12="Milestone","",NETWORKDAYS($H12,$I12))</f>
        <v>5</v>
      </c>
      <c r="K12" s="13" t="n">
        <v>0</v>
      </c>
      <c r="L12" s="9" t="s">
        <v>51</v>
      </c>
      <c r="M12" s="14" t="n">
        <f aca="false" t="array" ref="M12:M12">IF($G12="-","",MAX(IF(ISNUMBER(SEARCH(","&amp;$A$5:$A$87&amp;",",","&amp;$G12&amp;",")),$I$5:$I$87)))</f>
        <v>46211</v>
      </c>
      <c r="N12" s="15" t="str">
        <f aca="false">IF($M12="","-",IF($H12&gt;=$M12,"OK","Overlap"))</f>
        <v>Overlap</v>
      </c>
      <c r="O12" s="12" t="s">
        <v>23</v>
      </c>
      <c r="P12" s="1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I12" s="18" t="n">
        <f aca="false">H12</f>
        <v>46209</v>
      </c>
      <c r="AJ12" s="0" t="n">
        <f aca="false">MAX(I12-H12,1)</f>
        <v>4</v>
      </c>
    </row>
    <row r="13" customFormat="false" ht="15" hidden="false" customHeight="false" outlineLevel="0" collapsed="false">
      <c r="A13" s="7" t="s">
        <v>65</v>
      </c>
      <c r="B13" s="8" t="s">
        <v>37</v>
      </c>
      <c r="C13" s="9" t="s">
        <v>66</v>
      </c>
      <c r="D13" s="9" t="s">
        <v>67</v>
      </c>
      <c r="E13" s="9" t="s">
        <v>41</v>
      </c>
      <c r="F13" s="9" t="s">
        <v>40</v>
      </c>
      <c r="G13" s="10" t="s">
        <v>68</v>
      </c>
      <c r="H13" s="11" t="n">
        <v>46209</v>
      </c>
      <c r="I13" s="11" t="n">
        <v>46213</v>
      </c>
      <c r="J13" s="12" t="n">
        <f aca="false">IF($O13="Milestone","",NETWORKDAYS($H13,$I13))</f>
        <v>5</v>
      </c>
      <c r="K13" s="13" t="n">
        <v>0</v>
      </c>
      <c r="L13" s="9" t="s">
        <v>51</v>
      </c>
      <c r="M13" s="14" t="n">
        <f aca="false" t="array" ref="M13:M13">IF($G13="-","",MAX(IF(ISNUMBER(SEARCH(","&amp;$A$5:$A$87&amp;",",","&amp;$G13&amp;",")),$I$5:$I$87)))</f>
        <v>46211</v>
      </c>
      <c r="N13" s="15" t="str">
        <f aca="false">IF($M13="","-",IF($H13&gt;=$M13,"OK","Overlap"))</f>
        <v>Overlap</v>
      </c>
      <c r="O13" s="12" t="s">
        <v>23</v>
      </c>
      <c r="P13" s="16" t="s">
        <v>44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I13" s="18" t="n">
        <f aca="false">H13</f>
        <v>46209</v>
      </c>
      <c r="AJ13" s="0" t="n">
        <f aca="false">MAX(I13-H13,1)</f>
        <v>4</v>
      </c>
    </row>
    <row r="14" customFormat="false" ht="15" hidden="false" customHeight="false" outlineLevel="0" collapsed="false">
      <c r="A14" s="7" t="s">
        <v>69</v>
      </c>
      <c r="B14" s="8" t="s">
        <v>37</v>
      </c>
      <c r="C14" s="9" t="s">
        <v>66</v>
      </c>
      <c r="D14" s="9" t="s">
        <v>70</v>
      </c>
      <c r="E14" s="9" t="s">
        <v>41</v>
      </c>
      <c r="F14" s="9" t="s">
        <v>40</v>
      </c>
      <c r="G14" s="10" t="s">
        <v>65</v>
      </c>
      <c r="H14" s="11" t="n">
        <v>46211</v>
      </c>
      <c r="I14" s="11" t="n">
        <v>46218</v>
      </c>
      <c r="J14" s="12" t="n">
        <f aca="false">IF($O14="Milestone","",NETWORKDAYS($H14,$I14))</f>
        <v>6</v>
      </c>
      <c r="K14" s="13" t="n">
        <v>0</v>
      </c>
      <c r="L14" s="9" t="s">
        <v>51</v>
      </c>
      <c r="M14" s="14" t="n">
        <f aca="false" t="array" ref="M14:M14">IF($G14="-","",MAX(IF(ISNUMBER(SEARCH(","&amp;$A$5:$A$87&amp;",",","&amp;$G14&amp;",")),$I$5:$I$87)))</f>
        <v>46213</v>
      </c>
      <c r="N14" s="15" t="str">
        <f aca="false">IF($M14="","-",IF($H14&gt;=$M14,"OK","Overlap"))</f>
        <v>Overlap</v>
      </c>
      <c r="O14" s="12" t="s">
        <v>23</v>
      </c>
      <c r="P14" s="19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I14" s="18" t="n">
        <f aca="false">H14</f>
        <v>46211</v>
      </c>
      <c r="AJ14" s="0" t="n">
        <f aca="false">MAX(I14-H14,1)</f>
        <v>7</v>
      </c>
    </row>
    <row r="15" customFormat="false" ht="15" hidden="false" customHeight="false" outlineLevel="0" collapsed="false">
      <c r="A15" s="7" t="s">
        <v>71</v>
      </c>
      <c r="B15" s="8" t="s">
        <v>37</v>
      </c>
      <c r="C15" s="9" t="s">
        <v>66</v>
      </c>
      <c r="D15" s="9" t="s">
        <v>72</v>
      </c>
      <c r="E15" s="9" t="s">
        <v>47</v>
      </c>
      <c r="F15" s="9" t="s">
        <v>41</v>
      </c>
      <c r="G15" s="10" t="s">
        <v>69</v>
      </c>
      <c r="H15" s="11" t="n">
        <v>46216</v>
      </c>
      <c r="I15" s="11" t="n">
        <v>46220</v>
      </c>
      <c r="J15" s="12" t="n">
        <f aca="false">IF($O15="Milestone","",NETWORKDAYS($H15,$I15))</f>
        <v>5</v>
      </c>
      <c r="K15" s="13" t="n">
        <v>0</v>
      </c>
      <c r="L15" s="9" t="s">
        <v>51</v>
      </c>
      <c r="M15" s="14" t="n">
        <f aca="false" t="array" ref="M15:M15">IF($G15="-","",MAX(IF(ISNUMBER(SEARCH(","&amp;$A$5:$A$87&amp;",",","&amp;$G15&amp;",")),$I$5:$I$87)))</f>
        <v>46218</v>
      </c>
      <c r="N15" s="15" t="str">
        <f aca="false">IF($M15="","-",IF($H15&gt;=$M15,"OK","Overlap"))</f>
        <v>Overlap</v>
      </c>
      <c r="O15" s="12" t="s">
        <v>23</v>
      </c>
      <c r="P15" s="1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I15" s="18" t="n">
        <f aca="false">H15</f>
        <v>46216</v>
      </c>
      <c r="AJ15" s="0" t="n">
        <f aca="false">MAX(I15-H15,1)</f>
        <v>4</v>
      </c>
    </row>
    <row r="16" customFormat="false" ht="15" hidden="false" customHeight="false" outlineLevel="0" collapsed="false">
      <c r="A16" s="7" t="s">
        <v>73</v>
      </c>
      <c r="B16" s="8" t="s">
        <v>37</v>
      </c>
      <c r="C16" s="9" t="s">
        <v>66</v>
      </c>
      <c r="D16" s="7" t="s">
        <v>74</v>
      </c>
      <c r="E16" s="9" t="s">
        <v>47</v>
      </c>
      <c r="F16" s="9" t="s">
        <v>75</v>
      </c>
      <c r="G16" s="10" t="s">
        <v>76</v>
      </c>
      <c r="H16" s="11" t="n">
        <v>46220</v>
      </c>
      <c r="I16" s="11" t="n">
        <v>46220</v>
      </c>
      <c r="J16" s="12" t="str">
        <f aca="false">IF($O16="Milestone","",NETWORKDAYS($H16,$I16))</f>
        <v/>
      </c>
      <c r="K16" s="13" t="n">
        <v>0</v>
      </c>
      <c r="L16" s="9" t="s">
        <v>51</v>
      </c>
      <c r="M16" s="14" t="n">
        <f aca="false" t="array" ref="M16:M16">IF($G16="-","",MAX(IF(ISNUMBER(SEARCH(","&amp;$A$5:$A$87&amp;",",","&amp;$G16&amp;",")),$I$5:$I$87)))</f>
        <v>46220</v>
      </c>
      <c r="N16" s="15" t="str">
        <f aca="false">IF($M16="","-",IF($H16&gt;=$M16,"OK","Overlap"))</f>
        <v>OK</v>
      </c>
      <c r="O16" s="12" t="s">
        <v>57</v>
      </c>
      <c r="P16" s="16" t="s">
        <v>44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I16" s="18" t="n">
        <f aca="false">H16</f>
        <v>46220</v>
      </c>
      <c r="AJ16" s="0" t="n">
        <f aca="false">MAX(I16-H16,1)</f>
        <v>1</v>
      </c>
    </row>
    <row r="17" customFormat="false" ht="15" hidden="false" customHeight="false" outlineLevel="0" collapsed="false">
      <c r="A17" s="7" t="s">
        <v>77</v>
      </c>
      <c r="B17" s="20" t="s">
        <v>78</v>
      </c>
      <c r="C17" s="9" t="s">
        <v>79</v>
      </c>
      <c r="D17" s="9" t="s">
        <v>80</v>
      </c>
      <c r="E17" s="9" t="s">
        <v>41</v>
      </c>
      <c r="F17" s="9" t="s">
        <v>81</v>
      </c>
      <c r="G17" s="10" t="s">
        <v>61</v>
      </c>
      <c r="H17" s="11" t="n">
        <v>46202</v>
      </c>
      <c r="I17" s="11" t="n">
        <v>46213</v>
      </c>
      <c r="J17" s="12" t="n">
        <f aca="false">IF($O17="Milestone","",NETWORKDAYS($H17,$I17))</f>
        <v>10</v>
      </c>
      <c r="K17" s="13" t="n">
        <v>0</v>
      </c>
      <c r="L17" s="9" t="s">
        <v>51</v>
      </c>
      <c r="M17" s="14" t="n">
        <f aca="false" t="array" ref="M17:M17">IF($G17="-","",MAX(IF(ISNUMBER(SEARCH(","&amp;$A$5:$A$87&amp;",",","&amp;$G17&amp;",")),$I$5:$I$87)))</f>
        <v>46211</v>
      </c>
      <c r="N17" s="15" t="str">
        <f aca="false">IF($M17="","-",IF($H17&gt;=$M17,"OK","Overlap"))</f>
        <v>Overlap</v>
      </c>
      <c r="O17" s="12" t="s">
        <v>23</v>
      </c>
      <c r="P17" s="16" t="s">
        <v>44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I17" s="18" t="n">
        <f aca="false">H17</f>
        <v>46202</v>
      </c>
      <c r="AJ17" s="0" t="n">
        <f aca="false">MAX(I17-H17,1)</f>
        <v>11</v>
      </c>
    </row>
    <row r="18" customFormat="false" ht="15" hidden="false" customHeight="false" outlineLevel="0" collapsed="false">
      <c r="A18" s="7" t="s">
        <v>82</v>
      </c>
      <c r="B18" s="20" t="s">
        <v>78</v>
      </c>
      <c r="C18" s="9" t="s">
        <v>79</v>
      </c>
      <c r="D18" s="9" t="s">
        <v>83</v>
      </c>
      <c r="E18" s="9" t="s">
        <v>41</v>
      </c>
      <c r="F18" s="9" t="s">
        <v>50</v>
      </c>
      <c r="G18" s="10" t="s">
        <v>61</v>
      </c>
      <c r="H18" s="11" t="n">
        <v>46202</v>
      </c>
      <c r="I18" s="11" t="n">
        <v>46220</v>
      </c>
      <c r="J18" s="12" t="n">
        <f aca="false">IF($O18="Milestone","",NETWORKDAYS($H18,$I18))</f>
        <v>15</v>
      </c>
      <c r="K18" s="13" t="n">
        <v>0</v>
      </c>
      <c r="L18" s="9" t="s">
        <v>51</v>
      </c>
      <c r="M18" s="14" t="n">
        <f aca="false" t="array" ref="M18:M18">IF($G18="-","",MAX(IF(ISNUMBER(SEARCH(","&amp;$A$5:$A$87&amp;",",","&amp;$G18&amp;",")),$I$5:$I$87)))</f>
        <v>46211</v>
      </c>
      <c r="N18" s="15" t="str">
        <f aca="false">IF($M18="","-",IF($H18&gt;=$M18,"OK","Overlap"))</f>
        <v>Overlap</v>
      </c>
      <c r="O18" s="12" t="s">
        <v>23</v>
      </c>
      <c r="P18" s="1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I18" s="18" t="n">
        <f aca="false">H18</f>
        <v>46202</v>
      </c>
      <c r="AJ18" s="0" t="n">
        <f aca="false">MAX(I18-H18,1)</f>
        <v>18</v>
      </c>
    </row>
    <row r="19" customFormat="false" ht="15" hidden="false" customHeight="false" outlineLevel="0" collapsed="false">
      <c r="A19" s="7" t="s">
        <v>84</v>
      </c>
      <c r="B19" s="20" t="s">
        <v>78</v>
      </c>
      <c r="C19" s="9" t="s">
        <v>79</v>
      </c>
      <c r="D19" s="9" t="s">
        <v>85</v>
      </c>
      <c r="E19" s="9" t="s">
        <v>41</v>
      </c>
      <c r="F19" s="9" t="s">
        <v>50</v>
      </c>
      <c r="G19" s="10" t="s">
        <v>82</v>
      </c>
      <c r="H19" s="11" t="n">
        <v>46216</v>
      </c>
      <c r="I19" s="11" t="n">
        <v>46220</v>
      </c>
      <c r="J19" s="12" t="n">
        <f aca="false">IF($O19="Milestone","",NETWORKDAYS($H19,$I19))</f>
        <v>5</v>
      </c>
      <c r="K19" s="13" t="n">
        <v>0</v>
      </c>
      <c r="L19" s="9" t="s">
        <v>51</v>
      </c>
      <c r="M19" s="14" t="n">
        <f aca="false" t="array" ref="M19:M19">IF($G19="-","",MAX(IF(ISNUMBER(SEARCH(","&amp;$A$5:$A$87&amp;",",","&amp;$G19&amp;",")),$I$5:$I$87)))</f>
        <v>46220</v>
      </c>
      <c r="N19" s="15" t="str">
        <f aca="false">IF($M19="","-",IF($H19&gt;=$M19,"OK","Overlap"))</f>
        <v>Overlap</v>
      </c>
      <c r="O19" s="12" t="s">
        <v>23</v>
      </c>
      <c r="P19" s="19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I19" s="18" t="n">
        <f aca="false">H19</f>
        <v>46216</v>
      </c>
      <c r="AJ19" s="0" t="n">
        <f aca="false">MAX(I19-H19,1)</f>
        <v>4</v>
      </c>
    </row>
    <row r="20" customFormat="false" ht="15" hidden="false" customHeight="false" outlineLevel="0" collapsed="false">
      <c r="A20" s="7" t="s">
        <v>86</v>
      </c>
      <c r="B20" s="20" t="s">
        <v>78</v>
      </c>
      <c r="C20" s="9" t="s">
        <v>79</v>
      </c>
      <c r="D20" s="9" t="s">
        <v>87</v>
      </c>
      <c r="E20" s="9" t="s">
        <v>41</v>
      </c>
      <c r="F20" s="9" t="s">
        <v>88</v>
      </c>
      <c r="G20" s="10" t="s">
        <v>77</v>
      </c>
      <c r="H20" s="11" t="n">
        <v>46211</v>
      </c>
      <c r="I20" s="11" t="n">
        <v>46218</v>
      </c>
      <c r="J20" s="12" t="n">
        <f aca="false">IF($O20="Milestone","",NETWORKDAYS($H20,$I20))</f>
        <v>6</v>
      </c>
      <c r="K20" s="13" t="n">
        <v>0</v>
      </c>
      <c r="L20" s="9" t="s">
        <v>51</v>
      </c>
      <c r="M20" s="14" t="n">
        <f aca="false" t="array" ref="M20:M20">IF($G20="-","",MAX(IF(ISNUMBER(SEARCH(","&amp;$A$5:$A$87&amp;",",","&amp;$G20&amp;",")),$I$5:$I$87)))</f>
        <v>46213</v>
      </c>
      <c r="N20" s="15" t="str">
        <f aca="false">IF($M20="","-",IF($H20&gt;=$M20,"OK","Overlap"))</f>
        <v>Overlap</v>
      </c>
      <c r="O20" s="12" t="s">
        <v>23</v>
      </c>
      <c r="P20" s="19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I20" s="18" t="n">
        <f aca="false">H20</f>
        <v>46211</v>
      </c>
      <c r="AJ20" s="0" t="n">
        <f aca="false">MAX(I20-H20,1)</f>
        <v>7</v>
      </c>
    </row>
    <row r="21" customFormat="false" ht="15" hidden="false" customHeight="false" outlineLevel="0" collapsed="false">
      <c r="A21" s="7" t="s">
        <v>89</v>
      </c>
      <c r="B21" s="20" t="s">
        <v>78</v>
      </c>
      <c r="C21" s="9" t="s">
        <v>79</v>
      </c>
      <c r="D21" s="9" t="s">
        <v>90</v>
      </c>
      <c r="E21" s="9" t="s">
        <v>41</v>
      </c>
      <c r="F21" s="9" t="s">
        <v>88</v>
      </c>
      <c r="G21" s="10" t="s">
        <v>82</v>
      </c>
      <c r="H21" s="11" t="n">
        <v>46220</v>
      </c>
      <c r="I21" s="11" t="n">
        <v>46223</v>
      </c>
      <c r="J21" s="12" t="n">
        <f aca="false">IF($O21="Milestone","",NETWORKDAYS($H21,$I21))</f>
        <v>2</v>
      </c>
      <c r="K21" s="13" t="n">
        <v>0</v>
      </c>
      <c r="L21" s="9" t="s">
        <v>51</v>
      </c>
      <c r="M21" s="14" t="n">
        <f aca="false" t="array" ref="M21:M21">IF($G21="-","",MAX(IF(ISNUMBER(SEARCH(","&amp;$A$5:$A$87&amp;",",","&amp;$G21&amp;",")),$I$5:$I$87)))</f>
        <v>46220</v>
      </c>
      <c r="N21" s="15" t="str">
        <f aca="false">IF($M21="","-",IF($H21&gt;=$M21,"OK","Overlap"))</f>
        <v>OK</v>
      </c>
      <c r="O21" s="12" t="s">
        <v>23</v>
      </c>
      <c r="P21" s="19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I21" s="18" t="n">
        <f aca="false">H21</f>
        <v>46220</v>
      </c>
      <c r="AJ21" s="0" t="n">
        <f aca="false">MAX(I21-H21,1)</f>
        <v>3</v>
      </c>
    </row>
    <row r="22" customFormat="false" ht="15" hidden="false" customHeight="false" outlineLevel="0" collapsed="false">
      <c r="A22" s="7" t="s">
        <v>91</v>
      </c>
      <c r="B22" s="20" t="s">
        <v>78</v>
      </c>
      <c r="C22" s="9" t="s">
        <v>92</v>
      </c>
      <c r="D22" s="9" t="s">
        <v>93</v>
      </c>
      <c r="E22" s="9" t="s">
        <v>41</v>
      </c>
      <c r="F22" s="9" t="s">
        <v>88</v>
      </c>
      <c r="G22" s="10" t="s">
        <v>94</v>
      </c>
      <c r="H22" s="11" t="n">
        <v>46220</v>
      </c>
      <c r="I22" s="11" t="n">
        <v>46220</v>
      </c>
      <c r="J22" s="12" t="n">
        <f aca="false">IF($O22="Milestone","",NETWORKDAYS($H22,$I22))</f>
        <v>1</v>
      </c>
      <c r="K22" s="13" t="n">
        <v>0</v>
      </c>
      <c r="L22" s="9" t="s">
        <v>51</v>
      </c>
      <c r="M22" s="14" t="n">
        <f aca="false" t="array" ref="M22:M22">IF($G22="-","",MAX(IF(ISNUMBER(SEARCH(","&amp;$A$5:$A$87&amp;",",","&amp;$G22&amp;",")),$I$5:$I$87)))</f>
        <v>46220</v>
      </c>
      <c r="N22" s="15" t="str">
        <f aca="false">IF($M22="","-",IF($H22&gt;=$M22,"OK","Overlap"))</f>
        <v>OK</v>
      </c>
      <c r="O22" s="12" t="s">
        <v>23</v>
      </c>
      <c r="P22" s="19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I22" s="18" t="n">
        <f aca="false">H22</f>
        <v>46220</v>
      </c>
      <c r="AJ22" s="0" t="n">
        <f aca="false">MAX(I22-H22,1)</f>
        <v>1</v>
      </c>
    </row>
    <row r="23" customFormat="false" ht="15" hidden="false" customHeight="false" outlineLevel="0" collapsed="false">
      <c r="A23" s="7" t="s">
        <v>95</v>
      </c>
      <c r="B23" s="20" t="s">
        <v>78</v>
      </c>
      <c r="C23" s="9" t="s">
        <v>92</v>
      </c>
      <c r="D23" s="9" t="s">
        <v>96</v>
      </c>
      <c r="E23" s="9" t="s">
        <v>41</v>
      </c>
      <c r="F23" s="9" t="s">
        <v>40</v>
      </c>
      <c r="G23" s="10" t="s">
        <v>97</v>
      </c>
      <c r="H23" s="11" t="n">
        <v>46223</v>
      </c>
      <c r="I23" s="11" t="n">
        <v>46227</v>
      </c>
      <c r="J23" s="12" t="n">
        <f aca="false">IF($O23="Milestone","",NETWORKDAYS($H23,$I23))</f>
        <v>5</v>
      </c>
      <c r="K23" s="13" t="n">
        <v>0</v>
      </c>
      <c r="L23" s="9" t="s">
        <v>51</v>
      </c>
      <c r="M23" s="14" t="n">
        <f aca="false" t="array" ref="M23:M23">IF($G23="-","",MAX(IF(ISNUMBER(SEARCH(","&amp;$A$5:$A$87&amp;",",","&amp;$G23&amp;",")),$I$5:$I$87)))</f>
        <v>46220</v>
      </c>
      <c r="N23" s="15" t="str">
        <f aca="false">IF($M23="","-",IF($H23&gt;=$M23,"OK","Overlap"))</f>
        <v>OK</v>
      </c>
      <c r="O23" s="12" t="s">
        <v>23</v>
      </c>
      <c r="P23" s="16" t="s">
        <v>44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I23" s="18" t="n">
        <f aca="false">H23</f>
        <v>46223</v>
      </c>
      <c r="AJ23" s="0" t="n">
        <f aca="false">MAX(I23-H23,1)</f>
        <v>4</v>
      </c>
    </row>
    <row r="24" customFormat="false" ht="15" hidden="false" customHeight="false" outlineLevel="0" collapsed="false">
      <c r="A24" s="7" t="s">
        <v>98</v>
      </c>
      <c r="B24" s="20" t="s">
        <v>78</v>
      </c>
      <c r="C24" s="9" t="s">
        <v>92</v>
      </c>
      <c r="D24" s="7" t="s">
        <v>99</v>
      </c>
      <c r="E24" s="9" t="s">
        <v>41</v>
      </c>
      <c r="F24" s="9" t="s">
        <v>75</v>
      </c>
      <c r="G24" s="10" t="s">
        <v>95</v>
      </c>
      <c r="H24" s="11" t="n">
        <v>46227</v>
      </c>
      <c r="I24" s="11" t="n">
        <v>46227</v>
      </c>
      <c r="J24" s="12" t="str">
        <f aca="false">IF($O24="Milestone","",NETWORKDAYS($H24,$I24))</f>
        <v/>
      </c>
      <c r="K24" s="13" t="n">
        <v>0</v>
      </c>
      <c r="L24" s="9" t="s">
        <v>51</v>
      </c>
      <c r="M24" s="14" t="n">
        <f aca="false" t="array" ref="M24:M24">IF($G24="-","",MAX(IF(ISNUMBER(SEARCH(","&amp;$A$5:$A$87&amp;",",","&amp;$G24&amp;",")),$I$5:$I$87)))</f>
        <v>46227</v>
      </c>
      <c r="N24" s="15" t="str">
        <f aca="false">IF($M24="","-",IF($H24&gt;=$M24,"OK","Overlap"))</f>
        <v>OK</v>
      </c>
      <c r="O24" s="12" t="s">
        <v>57</v>
      </c>
      <c r="P24" s="16" t="s">
        <v>44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I24" s="18" t="n">
        <f aca="false">H24</f>
        <v>46227</v>
      </c>
      <c r="AJ24" s="0" t="n">
        <f aca="false">MAX(I24-H24,1)</f>
        <v>1</v>
      </c>
    </row>
    <row r="25" customFormat="false" ht="15" hidden="false" customHeight="false" outlineLevel="0" collapsed="false">
      <c r="A25" s="7" t="s">
        <v>100</v>
      </c>
      <c r="B25" s="20" t="s">
        <v>78</v>
      </c>
      <c r="C25" s="9" t="s">
        <v>101</v>
      </c>
      <c r="D25" s="9" t="s">
        <v>102</v>
      </c>
      <c r="E25" s="9" t="s">
        <v>41</v>
      </c>
      <c r="F25" s="9" t="s">
        <v>103</v>
      </c>
      <c r="G25" s="10" t="s">
        <v>95</v>
      </c>
      <c r="H25" s="11" t="n">
        <v>46227</v>
      </c>
      <c r="I25" s="11" t="n">
        <v>46232</v>
      </c>
      <c r="J25" s="12" t="n">
        <f aca="false">IF($O25="Milestone","",NETWORKDAYS($H25,$I25))</f>
        <v>4</v>
      </c>
      <c r="K25" s="13" t="n">
        <v>0</v>
      </c>
      <c r="L25" s="9" t="s">
        <v>51</v>
      </c>
      <c r="M25" s="14" t="n">
        <f aca="false" t="array" ref="M25:M25">IF($G25="-","",MAX(IF(ISNUMBER(SEARCH(","&amp;$A$5:$A$87&amp;",",","&amp;$G25&amp;",")),$I$5:$I$87)))</f>
        <v>46227</v>
      </c>
      <c r="N25" s="15" t="str">
        <f aca="false">IF($M25="","-",IF($H25&gt;=$M25,"OK","Overlap"))</f>
        <v>OK</v>
      </c>
      <c r="O25" s="12" t="s">
        <v>23</v>
      </c>
      <c r="P25" s="19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I25" s="18" t="n">
        <f aca="false">H25</f>
        <v>46227</v>
      </c>
      <c r="AJ25" s="0" t="n">
        <f aca="false">MAX(I25-H25,1)</f>
        <v>5</v>
      </c>
    </row>
    <row r="26" customFormat="false" ht="15" hidden="false" customHeight="false" outlineLevel="0" collapsed="false">
      <c r="A26" s="7" t="s">
        <v>104</v>
      </c>
      <c r="B26" s="20" t="s">
        <v>78</v>
      </c>
      <c r="C26" s="9" t="s">
        <v>101</v>
      </c>
      <c r="D26" s="9" t="s">
        <v>105</v>
      </c>
      <c r="E26" s="9" t="s">
        <v>103</v>
      </c>
      <c r="F26" s="9" t="s">
        <v>41</v>
      </c>
      <c r="G26" s="10" t="s">
        <v>100</v>
      </c>
      <c r="H26" s="11" t="n">
        <v>46232</v>
      </c>
      <c r="I26" s="11" t="n">
        <v>46234</v>
      </c>
      <c r="J26" s="12" t="n">
        <f aca="false">IF($O26="Milestone","",NETWORKDAYS($H26,$I26))</f>
        <v>3</v>
      </c>
      <c r="K26" s="13" t="n">
        <v>0</v>
      </c>
      <c r="L26" s="9" t="s">
        <v>51</v>
      </c>
      <c r="M26" s="14" t="n">
        <f aca="false" t="array" ref="M26:M26">IF($G26="-","",MAX(IF(ISNUMBER(SEARCH(","&amp;$A$5:$A$87&amp;",",","&amp;$G26&amp;",")),$I$5:$I$87)))</f>
        <v>46232</v>
      </c>
      <c r="N26" s="15" t="str">
        <f aca="false">IF($M26="","-",IF($H26&gt;=$M26,"OK","Overlap"))</f>
        <v>OK</v>
      </c>
      <c r="O26" s="12" t="s">
        <v>23</v>
      </c>
      <c r="P26" s="19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I26" s="18" t="n">
        <f aca="false">H26</f>
        <v>46232</v>
      </c>
      <c r="AJ26" s="0" t="n">
        <f aca="false">MAX(I26-H26,1)</f>
        <v>2</v>
      </c>
    </row>
    <row r="27" customFormat="false" ht="15" hidden="false" customHeight="false" outlineLevel="0" collapsed="false">
      <c r="A27" s="7" t="s">
        <v>106</v>
      </c>
      <c r="B27" s="20" t="s">
        <v>78</v>
      </c>
      <c r="C27" s="9" t="s">
        <v>101</v>
      </c>
      <c r="D27" s="9" t="s">
        <v>107</v>
      </c>
      <c r="E27" s="9" t="s">
        <v>108</v>
      </c>
      <c r="F27" s="9" t="s">
        <v>103</v>
      </c>
      <c r="G27" s="10" t="s">
        <v>104</v>
      </c>
      <c r="H27" s="11" t="n">
        <v>46234</v>
      </c>
      <c r="I27" s="11" t="n">
        <v>46238</v>
      </c>
      <c r="J27" s="12" t="n">
        <f aca="false">IF($O27="Milestone","",NETWORKDAYS($H27,$I27))</f>
        <v>3</v>
      </c>
      <c r="K27" s="13" t="n">
        <v>0</v>
      </c>
      <c r="L27" s="9" t="s">
        <v>51</v>
      </c>
      <c r="M27" s="14" t="n">
        <f aca="false" t="array" ref="M27:M27">IF($G27="-","",MAX(IF(ISNUMBER(SEARCH(","&amp;$A$5:$A$87&amp;",",","&amp;$G27&amp;",")),$I$5:$I$87)))</f>
        <v>46234</v>
      </c>
      <c r="N27" s="15" t="str">
        <f aca="false">IF($M27="","-",IF($H27&gt;=$M27,"OK","Overlap"))</f>
        <v>OK</v>
      </c>
      <c r="O27" s="12" t="s">
        <v>23</v>
      </c>
      <c r="P27" s="16" t="s">
        <v>44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I27" s="18" t="n">
        <f aca="false">H27</f>
        <v>46234</v>
      </c>
      <c r="AJ27" s="0" t="n">
        <f aca="false">MAX(I27-H27,1)</f>
        <v>4</v>
      </c>
    </row>
    <row r="28" customFormat="false" ht="15" hidden="false" customHeight="false" outlineLevel="0" collapsed="false">
      <c r="A28" s="7" t="s">
        <v>109</v>
      </c>
      <c r="B28" s="20" t="s">
        <v>78</v>
      </c>
      <c r="C28" s="9" t="s">
        <v>101</v>
      </c>
      <c r="D28" s="7" t="s">
        <v>110</v>
      </c>
      <c r="E28" s="9" t="s">
        <v>111</v>
      </c>
      <c r="F28" s="9" t="s">
        <v>75</v>
      </c>
      <c r="G28" s="10" t="s">
        <v>106</v>
      </c>
      <c r="H28" s="11" t="n">
        <v>46238</v>
      </c>
      <c r="I28" s="11" t="n">
        <v>46238</v>
      </c>
      <c r="J28" s="12" t="str">
        <f aca="false">IF($O28="Milestone","",NETWORKDAYS($H28,$I28))</f>
        <v/>
      </c>
      <c r="K28" s="13" t="n">
        <v>0</v>
      </c>
      <c r="L28" s="9" t="s">
        <v>51</v>
      </c>
      <c r="M28" s="14" t="n">
        <f aca="false" t="array" ref="M28:M28">IF($G28="-","",MAX(IF(ISNUMBER(SEARCH(","&amp;$A$5:$A$87&amp;",",","&amp;$G28&amp;",")),$I$5:$I$87)))</f>
        <v>46238</v>
      </c>
      <c r="N28" s="15" t="str">
        <f aca="false">IF($M28="","-",IF($H28&gt;=$M28,"OK","Overlap"))</f>
        <v>OK</v>
      </c>
      <c r="O28" s="12" t="s">
        <v>57</v>
      </c>
      <c r="P28" s="16" t="s">
        <v>44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I28" s="18" t="n">
        <f aca="false">H28</f>
        <v>46238</v>
      </c>
      <c r="AJ28" s="0" t="n">
        <f aca="false">MAX(I28-H28,1)</f>
        <v>1</v>
      </c>
    </row>
    <row r="29" customFormat="false" ht="15" hidden="false" customHeight="false" outlineLevel="0" collapsed="false">
      <c r="A29" s="7" t="s">
        <v>112</v>
      </c>
      <c r="B29" s="20" t="s">
        <v>78</v>
      </c>
      <c r="C29" s="9" t="s">
        <v>113</v>
      </c>
      <c r="D29" s="9" t="s">
        <v>114</v>
      </c>
      <c r="E29" s="9" t="s">
        <v>108</v>
      </c>
      <c r="F29" s="9" t="s">
        <v>115</v>
      </c>
      <c r="G29" s="10" t="s">
        <v>109</v>
      </c>
      <c r="H29" s="11" t="n">
        <v>46238</v>
      </c>
      <c r="I29" s="11" t="n">
        <v>46245</v>
      </c>
      <c r="J29" s="12" t="n">
        <f aca="false">IF($O29="Milestone","",NETWORKDAYS($H29,$I29))</f>
        <v>6</v>
      </c>
      <c r="K29" s="13" t="n">
        <v>0</v>
      </c>
      <c r="L29" s="9" t="s">
        <v>51</v>
      </c>
      <c r="M29" s="14" t="n">
        <f aca="false" t="array" ref="M29:M29">IF($G29="-","",MAX(IF(ISNUMBER(SEARCH(","&amp;$A$5:$A$87&amp;",",","&amp;$G29&amp;",")),$I$5:$I$87)))</f>
        <v>46238</v>
      </c>
      <c r="N29" s="15" t="str">
        <f aca="false">IF($M29="","-",IF($H29&gt;=$M29,"OK","Overlap"))</f>
        <v>OK</v>
      </c>
      <c r="O29" s="12" t="s">
        <v>23</v>
      </c>
      <c r="P29" s="19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I29" s="18" t="n">
        <f aca="false">H29</f>
        <v>46238</v>
      </c>
      <c r="AJ29" s="0" t="n">
        <f aca="false">MAX(I29-H29,1)</f>
        <v>7</v>
      </c>
    </row>
    <row r="30" customFormat="false" ht="15" hidden="false" customHeight="false" outlineLevel="0" collapsed="false">
      <c r="A30" s="7" t="s">
        <v>116</v>
      </c>
      <c r="B30" s="20" t="s">
        <v>78</v>
      </c>
      <c r="C30" s="9" t="s">
        <v>113</v>
      </c>
      <c r="D30" s="9" t="s">
        <v>117</v>
      </c>
      <c r="E30" s="9" t="s">
        <v>40</v>
      </c>
      <c r="F30" s="9" t="s">
        <v>111</v>
      </c>
      <c r="G30" s="10" t="s">
        <v>98</v>
      </c>
      <c r="H30" s="11" t="n">
        <v>46245</v>
      </c>
      <c r="I30" s="11" t="n">
        <v>46276</v>
      </c>
      <c r="J30" s="12" t="n">
        <f aca="false">IF($O30="Milestone","",NETWORKDAYS($H30,$I30))</f>
        <v>24</v>
      </c>
      <c r="K30" s="13" t="n">
        <v>0</v>
      </c>
      <c r="L30" s="9" t="s">
        <v>51</v>
      </c>
      <c r="M30" s="14" t="n">
        <f aca="false" t="array" ref="M30:M30">IF($G30="-","",MAX(IF(ISNUMBER(SEARCH(","&amp;$A$5:$A$87&amp;",",","&amp;$G30&amp;",")),$I$5:$I$87)))</f>
        <v>46227</v>
      </c>
      <c r="N30" s="15" t="str">
        <f aca="false">IF($M30="","-",IF($H30&gt;=$M30,"OK","Overlap"))</f>
        <v>OK</v>
      </c>
      <c r="O30" s="12" t="s">
        <v>23</v>
      </c>
      <c r="P30" s="19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I30" s="18" t="n">
        <f aca="false">H30</f>
        <v>46245</v>
      </c>
      <c r="AJ30" s="0" t="n">
        <f aca="false">MAX(I30-H30,1)</f>
        <v>31</v>
      </c>
    </row>
    <row r="31" customFormat="false" ht="15" hidden="false" customHeight="false" outlineLevel="0" collapsed="false">
      <c r="A31" s="7" t="s">
        <v>118</v>
      </c>
      <c r="B31" s="20" t="s">
        <v>78</v>
      </c>
      <c r="C31" s="9" t="s">
        <v>113</v>
      </c>
      <c r="D31" s="9" t="s">
        <v>119</v>
      </c>
      <c r="E31" s="9" t="s">
        <v>111</v>
      </c>
      <c r="F31" s="9" t="s">
        <v>115</v>
      </c>
      <c r="G31" s="10" t="s">
        <v>112</v>
      </c>
      <c r="H31" s="11" t="n">
        <v>46245</v>
      </c>
      <c r="I31" s="11" t="n">
        <v>46248</v>
      </c>
      <c r="J31" s="12" t="n">
        <f aca="false">IF($O31="Milestone","",NETWORKDAYS($H31,$I31))</f>
        <v>4</v>
      </c>
      <c r="K31" s="13" t="n">
        <v>0</v>
      </c>
      <c r="L31" s="9" t="s">
        <v>51</v>
      </c>
      <c r="M31" s="14" t="n">
        <f aca="false" t="array" ref="M31:M31">IF($G31="-","",MAX(IF(ISNUMBER(SEARCH(","&amp;$A$5:$A$87&amp;",",","&amp;$G31&amp;",")),$I$5:$I$87)))</f>
        <v>46245</v>
      </c>
      <c r="N31" s="15" t="str">
        <f aca="false">IF($M31="","-",IF($H31&gt;=$M31,"OK","Overlap"))</f>
        <v>OK</v>
      </c>
      <c r="O31" s="12" t="s">
        <v>23</v>
      </c>
      <c r="P31" s="19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I31" s="18" t="n">
        <f aca="false">H31</f>
        <v>46245</v>
      </c>
      <c r="AJ31" s="0" t="n">
        <f aca="false">MAX(I31-H31,1)</f>
        <v>3</v>
      </c>
    </row>
    <row r="32" customFormat="false" ht="15" hidden="false" customHeight="false" outlineLevel="0" collapsed="false">
      <c r="A32" s="7" t="s">
        <v>120</v>
      </c>
      <c r="B32" s="20" t="s">
        <v>78</v>
      </c>
      <c r="C32" s="9" t="s">
        <v>113</v>
      </c>
      <c r="D32" s="9" t="s">
        <v>121</v>
      </c>
      <c r="E32" s="9" t="s">
        <v>111</v>
      </c>
      <c r="F32" s="9" t="s">
        <v>103</v>
      </c>
      <c r="G32" s="10" t="s">
        <v>118</v>
      </c>
      <c r="H32" s="11" t="n">
        <v>46251</v>
      </c>
      <c r="I32" s="11" t="n">
        <v>46276</v>
      </c>
      <c r="J32" s="12" t="n">
        <f aca="false">IF($O32="Milestone","",NETWORKDAYS($H32,$I32))</f>
        <v>20</v>
      </c>
      <c r="K32" s="13" t="n">
        <v>0</v>
      </c>
      <c r="L32" s="9" t="s">
        <v>51</v>
      </c>
      <c r="M32" s="14" t="n">
        <f aca="false" t="array" ref="M32:M32">IF($G32="-","",MAX(IF(ISNUMBER(SEARCH(","&amp;$A$5:$A$87&amp;",",","&amp;$G32&amp;",")),$I$5:$I$87)))</f>
        <v>46248</v>
      </c>
      <c r="N32" s="15" t="str">
        <f aca="false">IF($M32="","-",IF($H32&gt;=$M32,"OK","Overlap"))</f>
        <v>OK</v>
      </c>
      <c r="O32" s="12" t="s">
        <v>23</v>
      </c>
      <c r="P32" s="19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I32" s="18" t="n">
        <f aca="false">H32</f>
        <v>46251</v>
      </c>
      <c r="AJ32" s="0" t="n">
        <f aca="false">MAX(I32-H32,1)</f>
        <v>25</v>
      </c>
    </row>
    <row r="33" customFormat="false" ht="15" hidden="false" customHeight="false" outlineLevel="0" collapsed="false">
      <c r="A33" s="7" t="s">
        <v>122</v>
      </c>
      <c r="B33" s="20" t="s">
        <v>78</v>
      </c>
      <c r="C33" s="9" t="s">
        <v>113</v>
      </c>
      <c r="D33" s="7" t="s">
        <v>123</v>
      </c>
      <c r="E33" s="9" t="s">
        <v>111</v>
      </c>
      <c r="F33" s="9" t="s">
        <v>115</v>
      </c>
      <c r="G33" s="10" t="s">
        <v>120</v>
      </c>
      <c r="H33" s="11" t="n">
        <v>46276</v>
      </c>
      <c r="I33" s="11" t="n">
        <v>46276</v>
      </c>
      <c r="J33" s="12" t="str">
        <f aca="false">IF($O33="Milestone","",NETWORKDAYS($H33,$I33))</f>
        <v/>
      </c>
      <c r="K33" s="13" t="n">
        <v>0</v>
      </c>
      <c r="L33" s="9" t="s">
        <v>51</v>
      </c>
      <c r="M33" s="14" t="n">
        <f aca="false" t="array" ref="M33:M33">IF($G33="-","",MAX(IF(ISNUMBER(SEARCH(","&amp;$A$5:$A$87&amp;",",","&amp;$G33&amp;",")),$I$5:$I$87)))</f>
        <v>46276</v>
      </c>
      <c r="N33" s="15" t="str">
        <f aca="false">IF($M33="","-",IF($H33&gt;=$M33,"OK","Overlap"))</f>
        <v>OK</v>
      </c>
      <c r="O33" s="12" t="s">
        <v>57</v>
      </c>
      <c r="P33" s="19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I33" s="18" t="n">
        <f aca="false">H33</f>
        <v>46276</v>
      </c>
      <c r="AJ33" s="0" t="n">
        <f aca="false">MAX(I33-H33,1)</f>
        <v>1</v>
      </c>
    </row>
    <row r="34" customFormat="false" ht="15" hidden="false" customHeight="false" outlineLevel="0" collapsed="false">
      <c r="A34" s="7" t="s">
        <v>124</v>
      </c>
      <c r="B34" s="21" t="s">
        <v>125</v>
      </c>
      <c r="C34" s="9" t="s">
        <v>126</v>
      </c>
      <c r="D34" s="9" t="s">
        <v>127</v>
      </c>
      <c r="E34" s="9" t="s">
        <v>41</v>
      </c>
      <c r="F34" s="9" t="s">
        <v>88</v>
      </c>
      <c r="G34" s="10" t="s">
        <v>42</v>
      </c>
      <c r="H34" s="11" t="n">
        <v>46209</v>
      </c>
      <c r="I34" s="11" t="n">
        <v>46220</v>
      </c>
      <c r="J34" s="12" t="n">
        <f aca="false">IF($O34="Milestone","",NETWORKDAYS($H34,$I34))</f>
        <v>10</v>
      </c>
      <c r="K34" s="13" t="n">
        <v>0</v>
      </c>
      <c r="L34" s="9" t="s">
        <v>51</v>
      </c>
      <c r="M34" s="14" t="str">
        <f aca="false" t="array" ref="M34:M34">IF($G34="-","",MAX(IF(ISNUMBER(SEARCH(","&amp;$A$5:$A$87&amp;",",","&amp;$G34&amp;",")),$I$5:$I$87)))</f>
        <v/>
      </c>
      <c r="N34" s="15" t="str">
        <f aca="false">IF($M34="","-",IF($H34&gt;=$M34,"OK","Overlap"))</f>
        <v>-</v>
      </c>
      <c r="O34" s="12" t="s">
        <v>23</v>
      </c>
      <c r="P34" s="19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I34" s="18" t="n">
        <f aca="false">H34</f>
        <v>46209</v>
      </c>
      <c r="AJ34" s="0" t="n">
        <f aca="false">MAX(I34-H34,1)</f>
        <v>11</v>
      </c>
    </row>
    <row r="35" customFormat="false" ht="15" hidden="false" customHeight="false" outlineLevel="0" collapsed="false">
      <c r="A35" s="7" t="s">
        <v>128</v>
      </c>
      <c r="B35" s="21" t="s">
        <v>125</v>
      </c>
      <c r="C35" s="9" t="s">
        <v>126</v>
      </c>
      <c r="D35" s="9" t="s">
        <v>129</v>
      </c>
      <c r="E35" s="9" t="s">
        <v>130</v>
      </c>
      <c r="F35" s="9" t="s">
        <v>41</v>
      </c>
      <c r="G35" s="10" t="s">
        <v>42</v>
      </c>
      <c r="H35" s="11" t="n">
        <v>46216</v>
      </c>
      <c r="I35" s="11" t="n">
        <v>46227</v>
      </c>
      <c r="J35" s="12" t="n">
        <f aca="false">IF($O35="Milestone","",NETWORKDAYS($H35,$I35))</f>
        <v>10</v>
      </c>
      <c r="K35" s="13" t="n">
        <v>0</v>
      </c>
      <c r="L35" s="9" t="s">
        <v>51</v>
      </c>
      <c r="M35" s="14" t="str">
        <f aca="false" t="array" ref="M35:M35">IF($G35="-","",MAX(IF(ISNUMBER(SEARCH(","&amp;$A$5:$A$87&amp;",",","&amp;$G35&amp;",")),$I$5:$I$87)))</f>
        <v/>
      </c>
      <c r="N35" s="15" t="str">
        <f aca="false">IF($M35="","-",IF($H35&gt;=$M35,"OK","Overlap"))</f>
        <v>-</v>
      </c>
      <c r="O35" s="12" t="s">
        <v>23</v>
      </c>
      <c r="P35" s="19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I35" s="18" t="n">
        <f aca="false">H35</f>
        <v>46216</v>
      </c>
      <c r="AJ35" s="0" t="n">
        <f aca="false">MAX(I35-H35,1)</f>
        <v>11</v>
      </c>
    </row>
    <row r="36" customFormat="false" ht="15" hidden="false" customHeight="false" outlineLevel="0" collapsed="false">
      <c r="A36" s="7" t="s">
        <v>131</v>
      </c>
      <c r="B36" s="21" t="s">
        <v>125</v>
      </c>
      <c r="C36" s="9" t="s">
        <v>126</v>
      </c>
      <c r="D36" s="9" t="s">
        <v>132</v>
      </c>
      <c r="E36" s="9" t="s">
        <v>41</v>
      </c>
      <c r="F36" s="9" t="s">
        <v>133</v>
      </c>
      <c r="G36" s="10" t="s">
        <v>134</v>
      </c>
      <c r="H36" s="11" t="n">
        <v>46230</v>
      </c>
      <c r="I36" s="11" t="n">
        <v>46234</v>
      </c>
      <c r="J36" s="12" t="n">
        <f aca="false">IF($O36="Milestone","",NETWORKDAYS($H36,$I36))</f>
        <v>5</v>
      </c>
      <c r="K36" s="13" t="n">
        <v>0</v>
      </c>
      <c r="L36" s="9" t="s">
        <v>51</v>
      </c>
      <c r="M36" s="14" t="n">
        <f aca="false" t="array" ref="M36:M36">IF($G36="-","",MAX(IF(ISNUMBER(SEARCH(","&amp;$A$5:$A$87&amp;",",","&amp;$G36&amp;",")),$I$5:$I$87)))</f>
        <v>46227</v>
      </c>
      <c r="N36" s="15" t="str">
        <f aca="false">IF($M36="","-",IF($H36&gt;=$M36,"OK","Overlap"))</f>
        <v>OK</v>
      </c>
      <c r="O36" s="12" t="s">
        <v>23</v>
      </c>
      <c r="P36" s="19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I36" s="18" t="n">
        <f aca="false">H36</f>
        <v>46230</v>
      </c>
      <c r="AJ36" s="0" t="n">
        <f aca="false">MAX(I36-H36,1)</f>
        <v>4</v>
      </c>
    </row>
    <row r="37" customFormat="false" ht="15" hidden="false" customHeight="false" outlineLevel="0" collapsed="false">
      <c r="A37" s="7" t="s">
        <v>135</v>
      </c>
      <c r="B37" s="21" t="s">
        <v>125</v>
      </c>
      <c r="C37" s="9" t="s">
        <v>126</v>
      </c>
      <c r="D37" s="7" t="s">
        <v>136</v>
      </c>
      <c r="E37" s="9" t="s">
        <v>133</v>
      </c>
      <c r="F37" s="9" t="s">
        <v>75</v>
      </c>
      <c r="G37" s="10" t="s">
        <v>131</v>
      </c>
      <c r="H37" s="11" t="n">
        <v>46234</v>
      </c>
      <c r="I37" s="11" t="n">
        <v>46234</v>
      </c>
      <c r="J37" s="12" t="str">
        <f aca="false">IF($O37="Milestone","",NETWORKDAYS($H37,$I37))</f>
        <v/>
      </c>
      <c r="K37" s="13" t="n">
        <v>0</v>
      </c>
      <c r="L37" s="9" t="s">
        <v>51</v>
      </c>
      <c r="M37" s="14" t="n">
        <f aca="false" t="array" ref="M37:M37">IF($G37="-","",MAX(IF(ISNUMBER(SEARCH(","&amp;$A$5:$A$87&amp;",",","&amp;$G37&amp;",")),$I$5:$I$87)))</f>
        <v>46234</v>
      </c>
      <c r="N37" s="15" t="str">
        <f aca="false">IF($M37="","-",IF($H37&gt;=$M37,"OK","Overlap"))</f>
        <v>OK</v>
      </c>
      <c r="O37" s="12" t="s">
        <v>57</v>
      </c>
      <c r="P37" s="19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I37" s="18" t="n">
        <f aca="false">H37</f>
        <v>46234</v>
      </c>
      <c r="AJ37" s="0" t="n">
        <f aca="false">MAX(I37-H37,1)</f>
        <v>1</v>
      </c>
    </row>
    <row r="38" customFormat="false" ht="15" hidden="false" customHeight="false" outlineLevel="0" collapsed="false">
      <c r="A38" s="7" t="s">
        <v>137</v>
      </c>
      <c r="B38" s="21" t="s">
        <v>125</v>
      </c>
      <c r="C38" s="9" t="s">
        <v>138</v>
      </c>
      <c r="D38" s="9" t="s">
        <v>139</v>
      </c>
      <c r="E38" s="9" t="s">
        <v>41</v>
      </c>
      <c r="F38" s="9" t="s">
        <v>50</v>
      </c>
      <c r="G38" s="10" t="s">
        <v>140</v>
      </c>
      <c r="H38" s="11" t="n">
        <v>46237</v>
      </c>
      <c r="I38" s="11" t="n">
        <v>46246</v>
      </c>
      <c r="J38" s="12" t="n">
        <f aca="false">IF($O38="Milestone","",NETWORKDAYS($H38,$I38))</f>
        <v>8</v>
      </c>
      <c r="K38" s="13" t="n">
        <v>0</v>
      </c>
      <c r="L38" s="9" t="s">
        <v>51</v>
      </c>
      <c r="M38" s="14" t="n">
        <f aca="false" t="array" ref="M38:M38">IF($G38="-","",MAX(IF(ISNUMBER(SEARCH(","&amp;$A$5:$A$87&amp;",",","&amp;$G38&amp;",")),$I$5:$I$87)))</f>
        <v>46234</v>
      </c>
      <c r="N38" s="15" t="str">
        <f aca="false">IF($M38="","-",IF($H38&gt;=$M38,"OK","Overlap"))</f>
        <v>OK</v>
      </c>
      <c r="O38" s="12" t="s">
        <v>23</v>
      </c>
      <c r="P38" s="19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I38" s="18" t="n">
        <f aca="false">H38</f>
        <v>46237</v>
      </c>
      <c r="AJ38" s="0" t="n">
        <f aca="false">MAX(I38-H38,1)</f>
        <v>9</v>
      </c>
    </row>
    <row r="39" customFormat="false" ht="15" hidden="false" customHeight="false" outlineLevel="0" collapsed="false">
      <c r="A39" s="7" t="s">
        <v>141</v>
      </c>
      <c r="B39" s="21" t="s">
        <v>125</v>
      </c>
      <c r="C39" s="9" t="s">
        <v>138</v>
      </c>
      <c r="D39" s="9" t="s">
        <v>142</v>
      </c>
      <c r="E39" s="9" t="s">
        <v>41</v>
      </c>
      <c r="F39" s="9" t="s">
        <v>47</v>
      </c>
      <c r="G39" s="10" t="s">
        <v>71</v>
      </c>
      <c r="H39" s="11" t="n">
        <v>46237</v>
      </c>
      <c r="I39" s="11" t="n">
        <v>46246</v>
      </c>
      <c r="J39" s="12" t="n">
        <f aca="false">IF($O39="Milestone","",NETWORKDAYS($H39,$I39))</f>
        <v>8</v>
      </c>
      <c r="K39" s="13" t="n">
        <v>0</v>
      </c>
      <c r="L39" s="9" t="s">
        <v>51</v>
      </c>
      <c r="M39" s="14" t="n">
        <f aca="false" t="array" ref="M39:M39">IF($G39="-","",MAX(IF(ISNUMBER(SEARCH(","&amp;$A$5:$A$87&amp;",",","&amp;$G39&amp;",")),$I$5:$I$87)))</f>
        <v>46220</v>
      </c>
      <c r="N39" s="15" t="str">
        <f aca="false">IF($M39="","-",IF($H39&gt;=$M39,"OK","Overlap"))</f>
        <v>OK</v>
      </c>
      <c r="O39" s="12" t="s">
        <v>23</v>
      </c>
      <c r="P39" s="19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I39" s="18" t="n">
        <f aca="false">H39</f>
        <v>46237</v>
      </c>
      <c r="AJ39" s="0" t="n">
        <f aca="false">MAX(I39-H39,1)</f>
        <v>9</v>
      </c>
    </row>
    <row r="40" customFormat="false" ht="15" hidden="false" customHeight="false" outlineLevel="0" collapsed="false">
      <c r="A40" s="7" t="s">
        <v>143</v>
      </c>
      <c r="B40" s="21" t="s">
        <v>125</v>
      </c>
      <c r="C40" s="9" t="s">
        <v>138</v>
      </c>
      <c r="D40" s="9" t="s">
        <v>144</v>
      </c>
      <c r="E40" s="9" t="s">
        <v>41</v>
      </c>
      <c r="F40" s="9" t="s">
        <v>88</v>
      </c>
      <c r="G40" s="10" t="s">
        <v>141</v>
      </c>
      <c r="H40" s="11" t="n">
        <v>46246</v>
      </c>
      <c r="I40" s="11" t="n">
        <v>46255</v>
      </c>
      <c r="J40" s="12" t="n">
        <f aca="false">IF($O40="Milestone","",NETWORKDAYS($H40,$I40))</f>
        <v>8</v>
      </c>
      <c r="K40" s="13" t="n">
        <v>0</v>
      </c>
      <c r="L40" s="9" t="s">
        <v>51</v>
      </c>
      <c r="M40" s="14" t="n">
        <f aca="false" t="array" ref="M40:M40">IF($G40="-","",MAX(IF(ISNUMBER(SEARCH(","&amp;$A$5:$A$87&amp;",",","&amp;$G40&amp;",")),$I$5:$I$87)))</f>
        <v>46246</v>
      </c>
      <c r="N40" s="15" t="str">
        <f aca="false">IF($M40="","-",IF($H40&gt;=$M40,"OK","Overlap"))</f>
        <v>OK</v>
      </c>
      <c r="O40" s="12" t="s">
        <v>23</v>
      </c>
      <c r="P40" s="19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I40" s="18" t="n">
        <f aca="false">H40</f>
        <v>46246</v>
      </c>
      <c r="AJ40" s="0" t="n">
        <f aca="false">MAX(I40-H40,1)</f>
        <v>9</v>
      </c>
    </row>
    <row r="41" customFormat="false" ht="15" hidden="false" customHeight="false" outlineLevel="0" collapsed="false">
      <c r="A41" s="7" t="s">
        <v>145</v>
      </c>
      <c r="B41" s="21" t="s">
        <v>125</v>
      </c>
      <c r="C41" s="9" t="s">
        <v>138</v>
      </c>
      <c r="D41" s="9" t="s">
        <v>146</v>
      </c>
      <c r="E41" s="9" t="s">
        <v>41</v>
      </c>
      <c r="F41" s="9" t="s">
        <v>81</v>
      </c>
      <c r="G41" s="10" t="s">
        <v>143</v>
      </c>
      <c r="H41" s="11" t="n">
        <v>46255</v>
      </c>
      <c r="I41" s="11" t="n">
        <v>46260</v>
      </c>
      <c r="J41" s="12" t="n">
        <f aca="false">IF($O41="Milestone","",NETWORKDAYS($H41,$I41))</f>
        <v>4</v>
      </c>
      <c r="K41" s="13" t="n">
        <v>0</v>
      </c>
      <c r="L41" s="9" t="s">
        <v>51</v>
      </c>
      <c r="M41" s="14" t="n">
        <f aca="false" t="array" ref="M41:M41">IF($G41="-","",MAX(IF(ISNUMBER(SEARCH(","&amp;$A$5:$A$87&amp;",",","&amp;$G41&amp;",")),$I$5:$I$87)))</f>
        <v>46255</v>
      </c>
      <c r="N41" s="15" t="str">
        <f aca="false">IF($M41="","-",IF($H41&gt;=$M41,"OK","Overlap"))</f>
        <v>OK</v>
      </c>
      <c r="O41" s="12" t="s">
        <v>23</v>
      </c>
      <c r="P41" s="19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I41" s="18" t="n">
        <f aca="false">H41</f>
        <v>46255</v>
      </c>
      <c r="AJ41" s="0" t="n">
        <f aca="false">MAX(I41-H41,1)</f>
        <v>5</v>
      </c>
    </row>
    <row r="42" customFormat="false" ht="15" hidden="false" customHeight="false" outlineLevel="0" collapsed="false">
      <c r="A42" s="7" t="s">
        <v>147</v>
      </c>
      <c r="B42" s="21" t="s">
        <v>125</v>
      </c>
      <c r="C42" s="9" t="s">
        <v>138</v>
      </c>
      <c r="D42" s="9" t="s">
        <v>148</v>
      </c>
      <c r="E42" s="9" t="s">
        <v>41</v>
      </c>
      <c r="F42" s="9" t="s">
        <v>88</v>
      </c>
      <c r="G42" s="10" t="s">
        <v>143</v>
      </c>
      <c r="H42" s="11" t="n">
        <v>46255</v>
      </c>
      <c r="I42" s="11" t="n">
        <v>46260</v>
      </c>
      <c r="J42" s="12" t="n">
        <f aca="false">IF($O42="Milestone","",NETWORKDAYS($H42,$I42))</f>
        <v>4</v>
      </c>
      <c r="K42" s="13" t="n">
        <v>0</v>
      </c>
      <c r="L42" s="9" t="s">
        <v>51</v>
      </c>
      <c r="M42" s="14" t="n">
        <f aca="false" t="array" ref="M42:M42">IF($G42="-","",MAX(IF(ISNUMBER(SEARCH(","&amp;$A$5:$A$87&amp;",",","&amp;$G42&amp;",")),$I$5:$I$87)))</f>
        <v>46255</v>
      </c>
      <c r="N42" s="15" t="str">
        <f aca="false">IF($M42="","-",IF($H42&gt;=$M42,"OK","Overlap"))</f>
        <v>OK</v>
      </c>
      <c r="O42" s="12" t="s">
        <v>23</v>
      </c>
      <c r="P42" s="19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I42" s="18" t="n">
        <f aca="false">H42</f>
        <v>46255</v>
      </c>
      <c r="AJ42" s="0" t="n">
        <f aca="false">MAX(I42-H42,1)</f>
        <v>5</v>
      </c>
    </row>
    <row r="43" customFormat="false" ht="15" hidden="false" customHeight="false" outlineLevel="0" collapsed="false">
      <c r="A43" s="7" t="s">
        <v>149</v>
      </c>
      <c r="B43" s="21" t="s">
        <v>125</v>
      </c>
      <c r="C43" s="9" t="s">
        <v>150</v>
      </c>
      <c r="D43" s="9" t="s">
        <v>151</v>
      </c>
      <c r="E43" s="9" t="s">
        <v>41</v>
      </c>
      <c r="F43" s="9" t="s">
        <v>88</v>
      </c>
      <c r="G43" s="10" t="s">
        <v>152</v>
      </c>
      <c r="H43" s="11" t="n">
        <v>46260</v>
      </c>
      <c r="I43" s="11" t="n">
        <v>46269</v>
      </c>
      <c r="J43" s="12" t="n">
        <f aca="false">IF($O43="Milestone","",NETWORKDAYS($H43,$I43))</f>
        <v>8</v>
      </c>
      <c r="K43" s="13" t="n">
        <v>0</v>
      </c>
      <c r="L43" s="9" t="s">
        <v>51</v>
      </c>
      <c r="M43" s="14" t="n">
        <f aca="false" t="array" ref="M43:M43">IF($G43="-","",MAX(IF(ISNUMBER(SEARCH(","&amp;$A$5:$A$87&amp;",",","&amp;$G43&amp;",")),$I$5:$I$87)))</f>
        <v>46260</v>
      </c>
      <c r="N43" s="15" t="str">
        <f aca="false">IF($M43="","-",IF($H43&gt;=$M43,"OK","Overlap"))</f>
        <v>OK</v>
      </c>
      <c r="O43" s="12" t="s">
        <v>23</v>
      </c>
      <c r="P43" s="19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I43" s="18" t="n">
        <f aca="false">H43</f>
        <v>46260</v>
      </c>
      <c r="AJ43" s="0" t="n">
        <f aca="false">MAX(I43-H43,1)</f>
        <v>9</v>
      </c>
    </row>
    <row r="44" customFormat="false" ht="15" hidden="false" customHeight="false" outlineLevel="0" collapsed="false">
      <c r="A44" s="7" t="s">
        <v>153</v>
      </c>
      <c r="B44" s="21" t="s">
        <v>125</v>
      </c>
      <c r="C44" s="9" t="s">
        <v>150</v>
      </c>
      <c r="D44" s="9" t="s">
        <v>154</v>
      </c>
      <c r="E44" s="9" t="s">
        <v>41</v>
      </c>
      <c r="F44" s="9" t="s">
        <v>50</v>
      </c>
      <c r="G44" s="10" t="s">
        <v>155</v>
      </c>
      <c r="H44" s="11" t="n">
        <v>46260</v>
      </c>
      <c r="I44" s="11" t="n">
        <v>46263</v>
      </c>
      <c r="J44" s="12" t="n">
        <f aca="false">IF($O44="Milestone","",NETWORKDAYS($H44,$I44))</f>
        <v>3</v>
      </c>
      <c r="K44" s="13" t="n">
        <v>0</v>
      </c>
      <c r="L44" s="9" t="s">
        <v>51</v>
      </c>
      <c r="M44" s="14" t="n">
        <f aca="false" t="array" ref="M44:M44">IF($G44="-","",MAX(IF(ISNUMBER(SEARCH(","&amp;$A$5:$A$87&amp;",",","&amp;$G44&amp;",")),$I$5:$I$87)))</f>
        <v>46269</v>
      </c>
      <c r="N44" s="15" t="str">
        <f aca="false">IF($M44="","-",IF($H44&gt;=$M44,"OK","Overlap"))</f>
        <v>Overlap</v>
      </c>
      <c r="O44" s="12" t="s">
        <v>23</v>
      </c>
      <c r="P44" s="19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I44" s="18" t="n">
        <f aca="false">H44</f>
        <v>46260</v>
      </c>
      <c r="AJ44" s="0" t="n">
        <f aca="false">MAX(I44-H44,1)</f>
        <v>3</v>
      </c>
    </row>
    <row r="45" customFormat="false" ht="15" hidden="false" customHeight="false" outlineLevel="0" collapsed="false">
      <c r="A45" s="7" t="s">
        <v>156</v>
      </c>
      <c r="B45" s="21" t="s">
        <v>125</v>
      </c>
      <c r="C45" s="9" t="s">
        <v>150</v>
      </c>
      <c r="D45" s="9" t="s">
        <v>157</v>
      </c>
      <c r="E45" s="9" t="s">
        <v>88</v>
      </c>
      <c r="F45" s="9" t="s">
        <v>158</v>
      </c>
      <c r="G45" s="10" t="s">
        <v>149</v>
      </c>
      <c r="H45" s="11" t="n">
        <v>46272</v>
      </c>
      <c r="I45" s="11" t="n">
        <v>46290</v>
      </c>
      <c r="J45" s="12" t="n">
        <f aca="false">IF($O45="Milestone","",NETWORKDAYS($H45,$I45))</f>
        <v>15</v>
      </c>
      <c r="K45" s="13" t="n">
        <v>0</v>
      </c>
      <c r="L45" s="9" t="s">
        <v>51</v>
      </c>
      <c r="M45" s="14" t="n">
        <f aca="false" t="array" ref="M45:M45">IF($G45="-","",MAX(IF(ISNUMBER(SEARCH(","&amp;$A$5:$A$87&amp;",",","&amp;$G45&amp;",")),$I$5:$I$87)))</f>
        <v>46269</v>
      </c>
      <c r="N45" s="15" t="str">
        <f aca="false">IF($M45="","-",IF($H45&gt;=$M45,"OK","Overlap"))</f>
        <v>OK</v>
      </c>
      <c r="O45" s="12" t="s">
        <v>23</v>
      </c>
      <c r="P45" s="19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I45" s="18" t="n">
        <f aca="false">H45</f>
        <v>46272</v>
      </c>
      <c r="AJ45" s="0" t="n">
        <f aca="false">MAX(I45-H45,1)</f>
        <v>18</v>
      </c>
    </row>
    <row r="46" customFormat="false" ht="15" hidden="false" customHeight="false" outlineLevel="0" collapsed="false">
      <c r="A46" s="7" t="s">
        <v>159</v>
      </c>
      <c r="B46" s="21" t="s">
        <v>125</v>
      </c>
      <c r="C46" s="9" t="s">
        <v>150</v>
      </c>
      <c r="D46" s="7" t="s">
        <v>160</v>
      </c>
      <c r="E46" s="9" t="s">
        <v>88</v>
      </c>
      <c r="F46" s="9" t="s">
        <v>75</v>
      </c>
      <c r="G46" s="10" t="s">
        <v>156</v>
      </c>
      <c r="H46" s="11" t="n">
        <v>46290</v>
      </c>
      <c r="I46" s="11" t="n">
        <v>46290</v>
      </c>
      <c r="J46" s="12" t="str">
        <f aca="false">IF($O46="Milestone","",NETWORKDAYS($H46,$I46))</f>
        <v/>
      </c>
      <c r="K46" s="13" t="n">
        <v>0</v>
      </c>
      <c r="L46" s="9" t="s">
        <v>51</v>
      </c>
      <c r="M46" s="14" t="n">
        <f aca="false" t="array" ref="M46:M46">IF($G46="-","",MAX(IF(ISNUMBER(SEARCH(","&amp;$A$5:$A$87&amp;",",","&amp;$G46&amp;",")),$I$5:$I$87)))</f>
        <v>46290</v>
      </c>
      <c r="N46" s="15" t="str">
        <f aca="false">IF($M46="","-",IF($H46&gt;=$M46,"OK","Overlap"))</f>
        <v>OK</v>
      </c>
      <c r="O46" s="12" t="s">
        <v>57</v>
      </c>
      <c r="P46" s="19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I46" s="18" t="n">
        <f aca="false">H46</f>
        <v>46290</v>
      </c>
      <c r="AJ46" s="0" t="n">
        <f aca="false">MAX(I46-H46,1)</f>
        <v>1</v>
      </c>
    </row>
    <row r="47" customFormat="false" ht="15" hidden="false" customHeight="false" outlineLevel="0" collapsed="false">
      <c r="A47" s="7" t="s">
        <v>161</v>
      </c>
      <c r="B47" s="22" t="s">
        <v>162</v>
      </c>
      <c r="C47" s="9" t="s">
        <v>163</v>
      </c>
      <c r="D47" s="9" t="s">
        <v>164</v>
      </c>
      <c r="E47" s="9" t="s">
        <v>41</v>
      </c>
      <c r="F47" s="9" t="s">
        <v>115</v>
      </c>
      <c r="G47" s="10" t="s">
        <v>98</v>
      </c>
      <c r="H47" s="11" t="n">
        <v>46230</v>
      </c>
      <c r="I47" s="11" t="n">
        <v>46234</v>
      </c>
      <c r="J47" s="12" t="n">
        <f aca="false">IF($O47="Milestone","",NETWORKDAYS($H47,$I47))</f>
        <v>5</v>
      </c>
      <c r="K47" s="13" t="n">
        <v>0</v>
      </c>
      <c r="L47" s="9" t="s">
        <v>51</v>
      </c>
      <c r="M47" s="14" t="n">
        <f aca="false" t="array" ref="M47:M47">IF($G47="-","",MAX(IF(ISNUMBER(SEARCH(","&amp;$A$5:$A$87&amp;",",","&amp;$G47&amp;",")),$I$5:$I$87)))</f>
        <v>46227</v>
      </c>
      <c r="N47" s="15" t="str">
        <f aca="false">IF($M47="","-",IF($H47&gt;=$M47,"OK","Overlap"))</f>
        <v>OK</v>
      </c>
      <c r="O47" s="12" t="s">
        <v>23</v>
      </c>
      <c r="P47" s="19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I47" s="18" t="n">
        <f aca="false">H47</f>
        <v>46230</v>
      </c>
      <c r="AJ47" s="0" t="n">
        <f aca="false">MAX(I47-H47,1)</f>
        <v>4</v>
      </c>
    </row>
    <row r="48" customFormat="false" ht="15" hidden="false" customHeight="false" outlineLevel="0" collapsed="false">
      <c r="A48" s="7" t="s">
        <v>165</v>
      </c>
      <c r="B48" s="22" t="s">
        <v>162</v>
      </c>
      <c r="C48" s="9" t="s">
        <v>163</v>
      </c>
      <c r="D48" s="9" t="s">
        <v>166</v>
      </c>
      <c r="E48" s="9" t="s">
        <v>41</v>
      </c>
      <c r="F48" s="9" t="s">
        <v>50</v>
      </c>
      <c r="G48" s="10" t="s">
        <v>161</v>
      </c>
      <c r="H48" s="11" t="n">
        <v>46237</v>
      </c>
      <c r="I48" s="11" t="n">
        <v>46248</v>
      </c>
      <c r="J48" s="12" t="n">
        <f aca="false">IF($O48="Milestone","",NETWORKDAYS($H48,$I48))</f>
        <v>10</v>
      </c>
      <c r="K48" s="13" t="n">
        <v>0</v>
      </c>
      <c r="L48" s="9" t="s">
        <v>51</v>
      </c>
      <c r="M48" s="14" t="n">
        <f aca="false" t="array" ref="M48:M48">IF($G48="-","",MAX(IF(ISNUMBER(SEARCH(","&amp;$A$5:$A$87&amp;",",","&amp;$G48&amp;",")),$I$5:$I$87)))</f>
        <v>46234</v>
      </c>
      <c r="N48" s="15" t="str">
        <f aca="false">IF($M48="","-",IF($H48&gt;=$M48,"OK","Overlap"))</f>
        <v>OK</v>
      </c>
      <c r="O48" s="12" t="s">
        <v>23</v>
      </c>
      <c r="P48" s="16" t="s">
        <v>44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I48" s="18" t="n">
        <f aca="false">H48</f>
        <v>46237</v>
      </c>
      <c r="AJ48" s="0" t="n">
        <f aca="false">MAX(I48-H48,1)</f>
        <v>11</v>
      </c>
    </row>
    <row r="49" customFormat="false" ht="15" hidden="false" customHeight="false" outlineLevel="0" collapsed="false">
      <c r="A49" s="7" t="s">
        <v>167</v>
      </c>
      <c r="B49" s="22" t="s">
        <v>162</v>
      </c>
      <c r="C49" s="9" t="s">
        <v>163</v>
      </c>
      <c r="D49" s="9" t="s">
        <v>168</v>
      </c>
      <c r="E49" s="9" t="s">
        <v>41</v>
      </c>
      <c r="F49" s="9" t="s">
        <v>133</v>
      </c>
      <c r="G49" s="10" t="s">
        <v>165</v>
      </c>
      <c r="H49" s="11" t="n">
        <v>46251</v>
      </c>
      <c r="I49" s="11" t="n">
        <v>46255</v>
      </c>
      <c r="J49" s="12" t="n">
        <f aca="false">IF($O49="Milestone","",NETWORKDAYS($H49,$I49))</f>
        <v>5</v>
      </c>
      <c r="K49" s="13" t="n">
        <v>0</v>
      </c>
      <c r="L49" s="9" t="s">
        <v>51</v>
      </c>
      <c r="M49" s="14" t="n">
        <f aca="false" t="array" ref="M49:M49">IF($G49="-","",MAX(IF(ISNUMBER(SEARCH(","&amp;$A$5:$A$87&amp;",",","&amp;$G49&amp;",")),$I$5:$I$87)))</f>
        <v>46248</v>
      </c>
      <c r="N49" s="15" t="str">
        <f aca="false">IF($M49="","-",IF($H49&gt;=$M49,"OK","Overlap"))</f>
        <v>OK</v>
      </c>
      <c r="O49" s="12" t="s">
        <v>23</v>
      </c>
      <c r="P49" s="19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I49" s="18" t="n">
        <f aca="false">H49</f>
        <v>46251</v>
      </c>
      <c r="AJ49" s="0" t="n">
        <f aca="false">MAX(I49-H49,1)</f>
        <v>4</v>
      </c>
    </row>
    <row r="50" customFormat="false" ht="15" hidden="false" customHeight="false" outlineLevel="0" collapsed="false">
      <c r="A50" s="7" t="s">
        <v>169</v>
      </c>
      <c r="B50" s="22" t="s">
        <v>162</v>
      </c>
      <c r="C50" s="9" t="s">
        <v>163</v>
      </c>
      <c r="D50" s="7" t="s">
        <v>170</v>
      </c>
      <c r="E50" s="9" t="s">
        <v>133</v>
      </c>
      <c r="F50" s="9" t="s">
        <v>75</v>
      </c>
      <c r="G50" s="10" t="s">
        <v>167</v>
      </c>
      <c r="H50" s="11" t="n">
        <v>46255</v>
      </c>
      <c r="I50" s="11" t="n">
        <v>46255</v>
      </c>
      <c r="J50" s="12" t="str">
        <f aca="false">IF($O50="Milestone","",NETWORKDAYS($H50,$I50))</f>
        <v/>
      </c>
      <c r="K50" s="13" t="n">
        <v>0</v>
      </c>
      <c r="L50" s="9" t="s">
        <v>51</v>
      </c>
      <c r="M50" s="14" t="n">
        <f aca="false" t="array" ref="M50:M50">IF($G50="-","",MAX(IF(ISNUMBER(SEARCH(","&amp;$A$5:$A$87&amp;",",","&amp;$G50&amp;",")),$I$5:$I$87)))</f>
        <v>46255</v>
      </c>
      <c r="N50" s="15" t="str">
        <f aca="false">IF($M50="","-",IF($H50&gt;=$M50,"OK","Overlap"))</f>
        <v>OK</v>
      </c>
      <c r="O50" s="12" t="s">
        <v>57</v>
      </c>
      <c r="P50" s="19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I50" s="18" t="n">
        <f aca="false">H50</f>
        <v>46255</v>
      </c>
      <c r="AJ50" s="0" t="n">
        <f aca="false">MAX(I50-H50,1)</f>
        <v>1</v>
      </c>
    </row>
    <row r="51" customFormat="false" ht="15" hidden="false" customHeight="false" outlineLevel="0" collapsed="false">
      <c r="A51" s="7" t="s">
        <v>171</v>
      </c>
      <c r="B51" s="22" t="s">
        <v>162</v>
      </c>
      <c r="C51" s="9" t="s">
        <v>172</v>
      </c>
      <c r="D51" s="9" t="s">
        <v>173</v>
      </c>
      <c r="E51" s="9" t="s">
        <v>41</v>
      </c>
      <c r="F51" s="9" t="s">
        <v>174</v>
      </c>
      <c r="G51" s="10" t="s">
        <v>169</v>
      </c>
      <c r="H51" s="11" t="n">
        <v>46258</v>
      </c>
      <c r="I51" s="11" t="n">
        <v>46267</v>
      </c>
      <c r="J51" s="12" t="n">
        <f aca="false">IF($O51="Milestone","",NETWORKDAYS($H51,$I51))</f>
        <v>8</v>
      </c>
      <c r="K51" s="13" t="n">
        <v>0</v>
      </c>
      <c r="L51" s="9" t="s">
        <v>51</v>
      </c>
      <c r="M51" s="14" t="n">
        <f aca="false" t="array" ref="M51:M51">IF($G51="-","",MAX(IF(ISNUMBER(SEARCH(","&amp;$A$5:$A$87&amp;",",","&amp;$G51&amp;",")),$I$5:$I$87)))</f>
        <v>46255</v>
      </c>
      <c r="N51" s="15" t="str">
        <f aca="false">IF($M51="","-",IF($H51&gt;=$M51,"OK","Overlap"))</f>
        <v>OK</v>
      </c>
      <c r="O51" s="12" t="s">
        <v>23</v>
      </c>
      <c r="P51" s="19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I51" s="18" t="n">
        <f aca="false">H51</f>
        <v>46258</v>
      </c>
      <c r="AJ51" s="0" t="n">
        <f aca="false">MAX(I51-H51,1)</f>
        <v>9</v>
      </c>
    </row>
    <row r="52" customFormat="false" ht="15" hidden="false" customHeight="false" outlineLevel="0" collapsed="false">
      <c r="A52" s="7" t="s">
        <v>175</v>
      </c>
      <c r="B52" s="22" t="s">
        <v>162</v>
      </c>
      <c r="C52" s="9" t="s">
        <v>172</v>
      </c>
      <c r="D52" s="9" t="s">
        <v>176</v>
      </c>
      <c r="E52" s="9" t="s">
        <v>108</v>
      </c>
      <c r="F52" s="9" t="s">
        <v>115</v>
      </c>
      <c r="G52" s="10" t="s">
        <v>171</v>
      </c>
      <c r="H52" s="11" t="n">
        <v>46267</v>
      </c>
      <c r="I52" s="11" t="n">
        <v>46272</v>
      </c>
      <c r="J52" s="12" t="n">
        <f aca="false">IF($O52="Milestone","",NETWORKDAYS($H52,$I52))</f>
        <v>4</v>
      </c>
      <c r="K52" s="13" t="n">
        <v>0</v>
      </c>
      <c r="L52" s="9" t="s">
        <v>51</v>
      </c>
      <c r="M52" s="14" t="n">
        <f aca="false" t="array" ref="M52:M52">IF($G52="-","",MAX(IF(ISNUMBER(SEARCH(","&amp;$A$5:$A$87&amp;",",","&amp;$G52&amp;",")),$I$5:$I$87)))</f>
        <v>46267</v>
      </c>
      <c r="N52" s="15" t="str">
        <f aca="false">IF($M52="","-",IF($H52&gt;=$M52,"OK","Overlap"))</f>
        <v>OK</v>
      </c>
      <c r="O52" s="12" t="s">
        <v>23</v>
      </c>
      <c r="P52" s="16" t="s">
        <v>44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I52" s="18" t="n">
        <f aca="false">H52</f>
        <v>46267</v>
      </c>
      <c r="AJ52" s="0" t="n">
        <f aca="false">MAX(I52-H52,1)</f>
        <v>5</v>
      </c>
    </row>
    <row r="53" customFormat="false" ht="15" hidden="false" customHeight="false" outlineLevel="0" collapsed="false">
      <c r="A53" s="7" t="s">
        <v>177</v>
      </c>
      <c r="B53" s="22" t="s">
        <v>162</v>
      </c>
      <c r="C53" s="9" t="s">
        <v>113</v>
      </c>
      <c r="D53" s="9" t="s">
        <v>178</v>
      </c>
      <c r="E53" s="9" t="s">
        <v>111</v>
      </c>
      <c r="F53" s="9" t="s">
        <v>115</v>
      </c>
      <c r="G53" s="10" t="s">
        <v>175</v>
      </c>
      <c r="H53" s="11" t="n">
        <v>46273</v>
      </c>
      <c r="I53" s="11" t="n">
        <v>46283</v>
      </c>
      <c r="J53" s="12" t="n">
        <f aca="false">IF($O53="Milestone","",NETWORKDAYS($H53,$I53))</f>
        <v>9</v>
      </c>
      <c r="K53" s="13" t="n">
        <v>0</v>
      </c>
      <c r="L53" s="9" t="s">
        <v>51</v>
      </c>
      <c r="M53" s="14" t="n">
        <f aca="false" t="array" ref="M53:M53">IF($G53="-","",MAX(IF(ISNUMBER(SEARCH(","&amp;$A$5:$A$87&amp;",",","&amp;$G53&amp;",")),$I$5:$I$87)))</f>
        <v>46272</v>
      </c>
      <c r="N53" s="15" t="str">
        <f aca="false">IF($M53="","-",IF($H53&gt;=$M53,"OK","Overlap"))</f>
        <v>OK</v>
      </c>
      <c r="O53" s="12" t="s">
        <v>23</v>
      </c>
      <c r="P53" s="19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I53" s="18" t="n">
        <f aca="false">H53</f>
        <v>46273</v>
      </c>
      <c r="AJ53" s="0" t="n">
        <f aca="false">MAX(I53-H53,1)</f>
        <v>10</v>
      </c>
    </row>
    <row r="54" customFormat="false" ht="15" hidden="false" customHeight="false" outlineLevel="0" collapsed="false">
      <c r="A54" s="7" t="s">
        <v>179</v>
      </c>
      <c r="B54" s="22" t="s">
        <v>162</v>
      </c>
      <c r="C54" s="9" t="s">
        <v>113</v>
      </c>
      <c r="D54" s="7" t="s">
        <v>180</v>
      </c>
      <c r="E54" s="9" t="s">
        <v>111</v>
      </c>
      <c r="F54" s="9" t="s">
        <v>75</v>
      </c>
      <c r="G54" s="10" t="s">
        <v>177</v>
      </c>
      <c r="H54" s="11" t="n">
        <v>46283</v>
      </c>
      <c r="I54" s="11" t="n">
        <v>46283</v>
      </c>
      <c r="J54" s="12" t="str">
        <f aca="false">IF($O54="Milestone","",NETWORKDAYS($H54,$I54))</f>
        <v/>
      </c>
      <c r="K54" s="13" t="n">
        <v>0</v>
      </c>
      <c r="L54" s="9" t="s">
        <v>51</v>
      </c>
      <c r="M54" s="14" t="n">
        <f aca="false" t="array" ref="M54:M54">IF($G54="-","",MAX(IF(ISNUMBER(SEARCH(","&amp;$A$5:$A$87&amp;",",","&amp;$G54&amp;",")),$I$5:$I$87)))</f>
        <v>46283</v>
      </c>
      <c r="N54" s="15" t="str">
        <f aca="false">IF($M54="","-",IF($H54&gt;=$M54,"OK","Overlap"))</f>
        <v>OK</v>
      </c>
      <c r="O54" s="12" t="s">
        <v>57</v>
      </c>
      <c r="P54" s="19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I54" s="18" t="n">
        <f aca="false">H54</f>
        <v>46283</v>
      </c>
      <c r="AJ54" s="0" t="n">
        <f aca="false">MAX(I54-H54,1)</f>
        <v>1</v>
      </c>
    </row>
    <row r="55" customFormat="false" ht="15" hidden="false" customHeight="false" outlineLevel="0" collapsed="false">
      <c r="A55" s="7" t="s">
        <v>181</v>
      </c>
      <c r="B55" s="23" t="s">
        <v>182</v>
      </c>
      <c r="C55" s="9" t="s">
        <v>183</v>
      </c>
      <c r="D55" s="9" t="s">
        <v>184</v>
      </c>
      <c r="E55" s="9" t="s">
        <v>41</v>
      </c>
      <c r="F55" s="9" t="s">
        <v>50</v>
      </c>
      <c r="G55" s="10" t="s">
        <v>71</v>
      </c>
      <c r="H55" s="11" t="n">
        <v>46244</v>
      </c>
      <c r="I55" s="11" t="n">
        <v>46255</v>
      </c>
      <c r="J55" s="12" t="n">
        <f aca="false">IF($O55="Milestone","",NETWORKDAYS($H55,$I55))</f>
        <v>10</v>
      </c>
      <c r="K55" s="13" t="n">
        <v>0</v>
      </c>
      <c r="L55" s="9" t="s">
        <v>51</v>
      </c>
      <c r="M55" s="14" t="n">
        <f aca="false" t="array" ref="M55:M55">IF($G55="-","",MAX(IF(ISNUMBER(SEARCH(","&amp;$A$5:$A$87&amp;",",","&amp;$G55&amp;",")),$I$5:$I$87)))</f>
        <v>46220</v>
      </c>
      <c r="N55" s="15" t="str">
        <f aca="false">IF($M55="","-",IF($H55&gt;=$M55,"OK","Overlap"))</f>
        <v>OK</v>
      </c>
      <c r="O55" s="12" t="s">
        <v>23</v>
      </c>
      <c r="P55" s="16" t="s">
        <v>44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I55" s="18" t="n">
        <f aca="false">H55</f>
        <v>46244</v>
      </c>
      <c r="AJ55" s="0" t="n">
        <f aca="false">MAX(I55-H55,1)</f>
        <v>11</v>
      </c>
    </row>
    <row r="56" customFormat="false" ht="15" hidden="false" customHeight="false" outlineLevel="0" collapsed="false">
      <c r="A56" s="7" t="s">
        <v>185</v>
      </c>
      <c r="B56" s="23" t="s">
        <v>182</v>
      </c>
      <c r="C56" s="9" t="s">
        <v>183</v>
      </c>
      <c r="D56" s="9" t="s">
        <v>186</v>
      </c>
      <c r="E56" s="9" t="s">
        <v>41</v>
      </c>
      <c r="F56" s="9" t="s">
        <v>50</v>
      </c>
      <c r="G56" s="10" t="s">
        <v>181</v>
      </c>
      <c r="H56" s="11" t="n">
        <v>46251</v>
      </c>
      <c r="I56" s="11" t="n">
        <v>46260</v>
      </c>
      <c r="J56" s="12" t="n">
        <f aca="false">IF($O56="Milestone","",NETWORKDAYS($H56,$I56))</f>
        <v>8</v>
      </c>
      <c r="K56" s="13" t="n">
        <v>0</v>
      </c>
      <c r="L56" s="9" t="s">
        <v>51</v>
      </c>
      <c r="M56" s="14" t="n">
        <f aca="false" t="array" ref="M56:M56">IF($G56="-","",MAX(IF(ISNUMBER(SEARCH(","&amp;$A$5:$A$87&amp;",",","&amp;$G56&amp;",")),$I$5:$I$87)))</f>
        <v>46255</v>
      </c>
      <c r="N56" s="15" t="str">
        <f aca="false">IF($M56="","-",IF($H56&gt;=$M56,"OK","Overlap"))</f>
        <v>Overlap</v>
      </c>
      <c r="O56" s="12" t="s">
        <v>23</v>
      </c>
      <c r="P56" s="19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I56" s="18" t="n">
        <f aca="false">H56</f>
        <v>46251</v>
      </c>
      <c r="AJ56" s="0" t="n">
        <f aca="false">MAX(I56-H56,1)</f>
        <v>9</v>
      </c>
    </row>
    <row r="57" customFormat="false" ht="15" hidden="false" customHeight="false" outlineLevel="0" collapsed="false">
      <c r="A57" s="7" t="s">
        <v>187</v>
      </c>
      <c r="B57" s="23" t="s">
        <v>182</v>
      </c>
      <c r="C57" s="9" t="s">
        <v>183</v>
      </c>
      <c r="D57" s="9" t="s">
        <v>188</v>
      </c>
      <c r="E57" s="9" t="s">
        <v>41</v>
      </c>
      <c r="F57" s="9" t="s">
        <v>133</v>
      </c>
      <c r="G57" s="10" t="s">
        <v>185</v>
      </c>
      <c r="H57" s="11" t="n">
        <v>46258</v>
      </c>
      <c r="I57" s="11" t="n">
        <v>46262</v>
      </c>
      <c r="J57" s="12" t="n">
        <f aca="false">IF($O57="Milestone","",NETWORKDAYS($H57,$I57))</f>
        <v>5</v>
      </c>
      <c r="K57" s="13" t="n">
        <v>0</v>
      </c>
      <c r="L57" s="9" t="s">
        <v>51</v>
      </c>
      <c r="M57" s="14" t="n">
        <f aca="false" t="array" ref="M57:M57">IF($G57="-","",MAX(IF(ISNUMBER(SEARCH(","&amp;$A$5:$A$87&amp;",",","&amp;$G57&amp;",")),$I$5:$I$87)))</f>
        <v>46260</v>
      </c>
      <c r="N57" s="15" t="str">
        <f aca="false">IF($M57="","-",IF($H57&gt;=$M57,"OK","Overlap"))</f>
        <v>Overlap</v>
      </c>
      <c r="O57" s="12" t="s">
        <v>23</v>
      </c>
      <c r="P57" s="19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I57" s="18" t="n">
        <f aca="false">H57</f>
        <v>46258</v>
      </c>
      <c r="AJ57" s="0" t="n">
        <f aca="false">MAX(I57-H57,1)</f>
        <v>4</v>
      </c>
    </row>
    <row r="58" customFormat="false" ht="15" hidden="false" customHeight="false" outlineLevel="0" collapsed="false">
      <c r="A58" s="7" t="s">
        <v>189</v>
      </c>
      <c r="B58" s="23" t="s">
        <v>182</v>
      </c>
      <c r="C58" s="9" t="s">
        <v>183</v>
      </c>
      <c r="D58" s="7" t="s">
        <v>190</v>
      </c>
      <c r="E58" s="9" t="s">
        <v>133</v>
      </c>
      <c r="F58" s="9" t="s">
        <v>191</v>
      </c>
      <c r="G58" s="10" t="s">
        <v>187</v>
      </c>
      <c r="H58" s="11" t="n">
        <v>46262</v>
      </c>
      <c r="I58" s="11" t="n">
        <v>46262</v>
      </c>
      <c r="J58" s="12" t="str">
        <f aca="false">IF($O58="Milestone","",NETWORKDAYS($H58,$I58))</f>
        <v/>
      </c>
      <c r="K58" s="13" t="n">
        <v>0</v>
      </c>
      <c r="L58" s="9" t="s">
        <v>51</v>
      </c>
      <c r="M58" s="14" t="n">
        <f aca="false" t="array" ref="M58:M58">IF($G58="-","",MAX(IF(ISNUMBER(SEARCH(","&amp;$A$5:$A$87&amp;",",","&amp;$G58&amp;",")),$I$5:$I$87)))</f>
        <v>46262</v>
      </c>
      <c r="N58" s="15" t="str">
        <f aca="false">IF($M58="","-",IF($H58&gt;=$M58,"OK","Overlap"))</f>
        <v>OK</v>
      </c>
      <c r="O58" s="12" t="s">
        <v>57</v>
      </c>
      <c r="P58" s="19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I58" s="18" t="n">
        <f aca="false">H58</f>
        <v>46262</v>
      </c>
      <c r="AJ58" s="0" t="n">
        <f aca="false">MAX(I58-H58,1)</f>
        <v>1</v>
      </c>
    </row>
    <row r="59" customFormat="false" ht="15" hidden="false" customHeight="false" outlineLevel="0" collapsed="false">
      <c r="A59" s="7" t="s">
        <v>192</v>
      </c>
      <c r="B59" s="23" t="s">
        <v>182</v>
      </c>
      <c r="C59" s="9" t="s">
        <v>193</v>
      </c>
      <c r="D59" s="9" t="s">
        <v>194</v>
      </c>
      <c r="E59" s="9" t="s">
        <v>41</v>
      </c>
      <c r="F59" s="9" t="s">
        <v>50</v>
      </c>
      <c r="G59" s="10" t="s">
        <v>181</v>
      </c>
      <c r="H59" s="11" t="n">
        <v>46251</v>
      </c>
      <c r="I59" s="11" t="n">
        <v>46260</v>
      </c>
      <c r="J59" s="12" t="n">
        <f aca="false">IF($O59="Milestone","",NETWORKDAYS($H59,$I59))</f>
        <v>8</v>
      </c>
      <c r="K59" s="13" t="n">
        <v>0</v>
      </c>
      <c r="L59" s="9" t="s">
        <v>51</v>
      </c>
      <c r="M59" s="14" t="n">
        <f aca="false" t="array" ref="M59:M59">IF($G59="-","",MAX(IF(ISNUMBER(SEARCH(","&amp;$A$5:$A$87&amp;",",","&amp;$G59&amp;",")),$I$5:$I$87)))</f>
        <v>46255</v>
      </c>
      <c r="N59" s="15" t="str">
        <f aca="false">IF($M59="","-",IF($H59&gt;=$M59,"OK","Overlap"))</f>
        <v>Overlap</v>
      </c>
      <c r="O59" s="12" t="s">
        <v>23</v>
      </c>
      <c r="P59" s="16" t="s">
        <v>44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I59" s="18" t="n">
        <f aca="false">H59</f>
        <v>46251</v>
      </c>
      <c r="AJ59" s="0" t="n">
        <f aca="false">MAX(I59-H59,1)</f>
        <v>9</v>
      </c>
    </row>
    <row r="60" customFormat="false" ht="15" hidden="false" customHeight="false" outlineLevel="0" collapsed="false">
      <c r="A60" s="7" t="s">
        <v>195</v>
      </c>
      <c r="B60" s="23" t="s">
        <v>182</v>
      </c>
      <c r="C60" s="9" t="s">
        <v>193</v>
      </c>
      <c r="D60" s="7" t="s">
        <v>196</v>
      </c>
      <c r="E60" s="9" t="s">
        <v>50</v>
      </c>
      <c r="F60" s="9" t="s">
        <v>41</v>
      </c>
      <c r="G60" s="10" t="s">
        <v>192</v>
      </c>
      <c r="H60" s="11" t="n">
        <v>46260</v>
      </c>
      <c r="I60" s="11" t="n">
        <v>46260</v>
      </c>
      <c r="J60" s="12" t="str">
        <f aca="false">IF($O60="Milestone","",NETWORKDAYS($H60,$I60))</f>
        <v/>
      </c>
      <c r="K60" s="13" t="n">
        <v>0</v>
      </c>
      <c r="L60" s="9" t="s">
        <v>51</v>
      </c>
      <c r="M60" s="14" t="n">
        <f aca="false" t="array" ref="M60:M60">IF($G60="-","",MAX(IF(ISNUMBER(SEARCH(","&amp;$A$5:$A$87&amp;",",","&amp;$G60&amp;",")),$I$5:$I$87)))</f>
        <v>46260</v>
      </c>
      <c r="N60" s="15" t="str">
        <f aca="false">IF($M60="","-",IF($H60&gt;=$M60,"OK","Overlap"))</f>
        <v>OK</v>
      </c>
      <c r="O60" s="12" t="s">
        <v>57</v>
      </c>
      <c r="P60" s="16" t="s">
        <v>44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I60" s="18" t="n">
        <f aca="false">H60</f>
        <v>46260</v>
      </c>
      <c r="AJ60" s="0" t="n">
        <f aca="false">MAX(I60-H60,1)</f>
        <v>1</v>
      </c>
    </row>
    <row r="61" customFormat="false" ht="15" hidden="false" customHeight="false" outlineLevel="0" collapsed="false">
      <c r="A61" s="7" t="s">
        <v>197</v>
      </c>
      <c r="B61" s="23" t="s">
        <v>182</v>
      </c>
      <c r="C61" s="9" t="s">
        <v>138</v>
      </c>
      <c r="D61" s="9" t="s">
        <v>198</v>
      </c>
      <c r="E61" s="9" t="s">
        <v>41</v>
      </c>
      <c r="F61" s="9" t="s">
        <v>47</v>
      </c>
      <c r="G61" s="10" t="s">
        <v>189</v>
      </c>
      <c r="H61" s="11" t="n">
        <v>46265</v>
      </c>
      <c r="I61" s="11" t="n">
        <v>46274</v>
      </c>
      <c r="J61" s="12" t="n">
        <f aca="false">IF($O61="Milestone","",NETWORKDAYS($H61,$I61))</f>
        <v>8</v>
      </c>
      <c r="K61" s="13" t="n">
        <v>0</v>
      </c>
      <c r="L61" s="9" t="s">
        <v>51</v>
      </c>
      <c r="M61" s="14" t="n">
        <f aca="false" t="array" ref="M61:M61">IF($G61="-","",MAX(IF(ISNUMBER(SEARCH(","&amp;$A$5:$A$87&amp;",",","&amp;$G61&amp;",")),$I$5:$I$87)))</f>
        <v>46262</v>
      </c>
      <c r="N61" s="15" t="str">
        <f aca="false">IF($M61="","-",IF($H61&gt;=$M61,"OK","Overlap"))</f>
        <v>OK</v>
      </c>
      <c r="O61" s="12" t="s">
        <v>23</v>
      </c>
      <c r="P61" s="16" t="s">
        <v>44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I61" s="18" t="n">
        <f aca="false">H61</f>
        <v>46265</v>
      </c>
      <c r="AJ61" s="0" t="n">
        <f aca="false">MAX(I61-H61,1)</f>
        <v>9</v>
      </c>
    </row>
    <row r="62" customFormat="false" ht="15" hidden="false" customHeight="false" outlineLevel="0" collapsed="false">
      <c r="A62" s="7" t="s">
        <v>199</v>
      </c>
      <c r="B62" s="23" t="s">
        <v>182</v>
      </c>
      <c r="C62" s="9" t="s">
        <v>138</v>
      </c>
      <c r="D62" s="9" t="s">
        <v>200</v>
      </c>
      <c r="E62" s="9" t="s">
        <v>41</v>
      </c>
      <c r="F62" s="9" t="s">
        <v>50</v>
      </c>
      <c r="G62" s="10" t="s">
        <v>201</v>
      </c>
      <c r="H62" s="11" t="n">
        <v>46274</v>
      </c>
      <c r="I62" s="11" t="n">
        <v>46281</v>
      </c>
      <c r="J62" s="12" t="n">
        <f aca="false">IF($O62="Milestone","",NETWORKDAYS($H62,$I62))</f>
        <v>6</v>
      </c>
      <c r="K62" s="13" t="n">
        <v>0</v>
      </c>
      <c r="L62" s="9" t="s">
        <v>51</v>
      </c>
      <c r="M62" s="14" t="n">
        <f aca="false" t="array" ref="M62:M62">IF($G62="-","",MAX(IF(ISNUMBER(SEARCH(","&amp;$A$5:$A$87&amp;",",","&amp;$G62&amp;",")),$I$5:$I$87)))</f>
        <v>46274</v>
      </c>
      <c r="N62" s="15" t="str">
        <f aca="false">IF($M62="","-",IF($H62&gt;=$M62,"OK","Overlap"))</f>
        <v>OK</v>
      </c>
      <c r="O62" s="12" t="s">
        <v>23</v>
      </c>
      <c r="P62" s="16" t="s">
        <v>44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I62" s="18" t="n">
        <f aca="false">H62</f>
        <v>46274</v>
      </c>
      <c r="AJ62" s="0" t="n">
        <f aca="false">MAX(I62-H62,1)</f>
        <v>7</v>
      </c>
    </row>
    <row r="63" customFormat="false" ht="15" hidden="false" customHeight="false" outlineLevel="0" collapsed="false">
      <c r="A63" s="7" t="s">
        <v>202</v>
      </c>
      <c r="B63" s="23" t="s">
        <v>182</v>
      </c>
      <c r="C63" s="9" t="s">
        <v>203</v>
      </c>
      <c r="D63" s="9" t="s">
        <v>204</v>
      </c>
      <c r="E63" s="9" t="s">
        <v>41</v>
      </c>
      <c r="F63" s="9" t="s">
        <v>50</v>
      </c>
      <c r="G63" s="10" t="s">
        <v>199</v>
      </c>
      <c r="H63" s="11" t="n">
        <v>46281</v>
      </c>
      <c r="I63" s="11" t="n">
        <v>46288</v>
      </c>
      <c r="J63" s="12" t="n">
        <f aca="false">IF($O63="Milestone","",NETWORKDAYS($H63,$I63))</f>
        <v>6</v>
      </c>
      <c r="K63" s="13" t="n">
        <v>0</v>
      </c>
      <c r="L63" s="9" t="s">
        <v>51</v>
      </c>
      <c r="M63" s="14" t="n">
        <f aca="false" t="array" ref="M63:M63">IF($G63="-","",MAX(IF(ISNUMBER(SEARCH(","&amp;$A$5:$A$87&amp;",",","&amp;$G63&amp;",")),$I$5:$I$87)))</f>
        <v>46281</v>
      </c>
      <c r="N63" s="15" t="str">
        <f aca="false">IF($M63="","-",IF($H63&gt;=$M63,"OK","Overlap"))</f>
        <v>OK</v>
      </c>
      <c r="O63" s="12" t="s">
        <v>23</v>
      </c>
      <c r="P63" s="19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I63" s="18" t="n">
        <f aca="false">H63</f>
        <v>46281</v>
      </c>
      <c r="AJ63" s="0" t="n">
        <f aca="false">MAX(I63-H63,1)</f>
        <v>7</v>
      </c>
    </row>
    <row r="64" customFormat="false" ht="15" hidden="false" customHeight="false" outlineLevel="0" collapsed="false">
      <c r="A64" s="7" t="s">
        <v>205</v>
      </c>
      <c r="B64" s="23" t="s">
        <v>182</v>
      </c>
      <c r="C64" s="9" t="s">
        <v>203</v>
      </c>
      <c r="D64" s="7" t="s">
        <v>206</v>
      </c>
      <c r="E64" s="9" t="s">
        <v>41</v>
      </c>
      <c r="F64" s="9" t="s">
        <v>191</v>
      </c>
      <c r="G64" s="10" t="s">
        <v>202</v>
      </c>
      <c r="H64" s="11" t="n">
        <v>46288</v>
      </c>
      <c r="I64" s="11" t="n">
        <v>46288</v>
      </c>
      <c r="J64" s="12" t="str">
        <f aca="false">IF($O64="Milestone","",NETWORKDAYS($H64,$I64))</f>
        <v/>
      </c>
      <c r="K64" s="13" t="n">
        <v>0</v>
      </c>
      <c r="L64" s="9" t="s">
        <v>51</v>
      </c>
      <c r="M64" s="14" t="n">
        <f aca="false" t="array" ref="M64:M64">IF($G64="-","",MAX(IF(ISNUMBER(SEARCH(","&amp;$A$5:$A$87&amp;",",","&amp;$G64&amp;",")),$I$5:$I$87)))</f>
        <v>46288</v>
      </c>
      <c r="N64" s="15" t="str">
        <f aca="false">IF($M64="","-",IF($H64&gt;=$M64,"OK","Overlap"))</f>
        <v>OK</v>
      </c>
      <c r="O64" s="12" t="s">
        <v>57</v>
      </c>
      <c r="P64" s="16" t="s">
        <v>44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I64" s="18" t="n">
        <f aca="false">H64</f>
        <v>46288</v>
      </c>
      <c r="AJ64" s="0" t="n">
        <f aca="false">MAX(I64-H64,1)</f>
        <v>1</v>
      </c>
    </row>
    <row r="65" customFormat="false" ht="15" hidden="false" customHeight="false" outlineLevel="0" collapsed="false">
      <c r="A65" s="7" t="s">
        <v>207</v>
      </c>
      <c r="B65" s="24" t="s">
        <v>208</v>
      </c>
      <c r="C65" s="9" t="s">
        <v>183</v>
      </c>
      <c r="D65" s="9" t="s">
        <v>209</v>
      </c>
      <c r="E65" s="9" t="s">
        <v>41</v>
      </c>
      <c r="F65" s="9" t="s">
        <v>133</v>
      </c>
      <c r="G65" s="10" t="s">
        <v>71</v>
      </c>
      <c r="H65" s="11" t="n">
        <v>46258</v>
      </c>
      <c r="I65" s="11" t="n">
        <v>46267</v>
      </c>
      <c r="J65" s="12" t="n">
        <f aca="false">IF($O65="Milestone","",NETWORKDAYS($H65,$I65))</f>
        <v>8</v>
      </c>
      <c r="K65" s="13" t="n">
        <v>0</v>
      </c>
      <c r="L65" s="9" t="s">
        <v>51</v>
      </c>
      <c r="M65" s="14" t="n">
        <f aca="false" t="array" ref="M65:M65">IF($G65="-","",MAX(IF(ISNUMBER(SEARCH(","&amp;$A$5:$A$87&amp;",",","&amp;$G65&amp;",")),$I$5:$I$87)))</f>
        <v>46220</v>
      </c>
      <c r="N65" s="15" t="str">
        <f aca="false">IF($M65="","-",IF($H65&gt;=$M65,"OK","Overlap"))</f>
        <v>OK</v>
      </c>
      <c r="O65" s="12" t="s">
        <v>23</v>
      </c>
      <c r="P65" s="19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I65" s="18" t="n">
        <f aca="false">H65</f>
        <v>46258</v>
      </c>
      <c r="AJ65" s="0" t="n">
        <f aca="false">MAX(I65-H65,1)</f>
        <v>9</v>
      </c>
    </row>
    <row r="66" customFormat="false" ht="15" hidden="false" customHeight="false" outlineLevel="0" collapsed="false">
      <c r="A66" s="7" t="s">
        <v>210</v>
      </c>
      <c r="B66" s="24" t="s">
        <v>208</v>
      </c>
      <c r="C66" s="9" t="s">
        <v>183</v>
      </c>
      <c r="D66" s="9" t="s">
        <v>211</v>
      </c>
      <c r="E66" s="9" t="s">
        <v>41</v>
      </c>
      <c r="F66" s="9" t="s">
        <v>40</v>
      </c>
      <c r="G66" s="10" t="s">
        <v>71</v>
      </c>
      <c r="H66" s="11" t="n">
        <v>46265</v>
      </c>
      <c r="I66" s="11" t="n">
        <v>46269</v>
      </c>
      <c r="J66" s="12" t="n">
        <f aca="false">IF($O66="Milestone","",NETWORKDAYS($H66,$I66))</f>
        <v>5</v>
      </c>
      <c r="K66" s="13" t="n">
        <v>0</v>
      </c>
      <c r="L66" s="9" t="s">
        <v>51</v>
      </c>
      <c r="M66" s="14" t="n">
        <f aca="false" t="array" ref="M66:M66">IF($G66="-","",MAX(IF(ISNUMBER(SEARCH(","&amp;$A$5:$A$87&amp;",",","&amp;$G66&amp;",")),$I$5:$I$87)))</f>
        <v>46220</v>
      </c>
      <c r="N66" s="15" t="str">
        <f aca="false">IF($M66="","-",IF($H66&gt;=$M66,"OK","Overlap"))</f>
        <v>OK</v>
      </c>
      <c r="O66" s="12" t="s">
        <v>23</v>
      </c>
      <c r="P66" s="19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I66" s="18" t="n">
        <f aca="false">H66</f>
        <v>46265</v>
      </c>
      <c r="AJ66" s="0" t="n">
        <f aca="false">MAX(I66-H66,1)</f>
        <v>4</v>
      </c>
    </row>
    <row r="67" customFormat="false" ht="15" hidden="false" customHeight="false" outlineLevel="0" collapsed="false">
      <c r="A67" s="7" t="s">
        <v>212</v>
      </c>
      <c r="B67" s="24" t="s">
        <v>208</v>
      </c>
      <c r="C67" s="9" t="s">
        <v>138</v>
      </c>
      <c r="D67" s="9" t="s">
        <v>213</v>
      </c>
      <c r="E67" s="9" t="s">
        <v>41</v>
      </c>
      <c r="F67" s="9" t="s">
        <v>47</v>
      </c>
      <c r="G67" s="10" t="s">
        <v>214</v>
      </c>
      <c r="H67" s="11" t="n">
        <v>46272</v>
      </c>
      <c r="I67" s="11" t="n">
        <v>46279</v>
      </c>
      <c r="J67" s="12" t="n">
        <f aca="false">IF($O67="Milestone","",NETWORKDAYS($H67,$I67))</f>
        <v>6</v>
      </c>
      <c r="K67" s="13" t="n">
        <v>0</v>
      </c>
      <c r="L67" s="9" t="s">
        <v>51</v>
      </c>
      <c r="M67" s="14" t="n">
        <f aca="false" t="array" ref="M67:M67">IF($G67="-","",MAX(IF(ISNUMBER(SEARCH(","&amp;$A$5:$A$87&amp;",",","&amp;$G67&amp;",")),$I$5:$I$87)))</f>
        <v>46269</v>
      </c>
      <c r="N67" s="15" t="str">
        <f aca="false">IF($M67="","-",IF($H67&gt;=$M67,"OK","Overlap"))</f>
        <v>OK</v>
      </c>
      <c r="O67" s="12" t="s">
        <v>23</v>
      </c>
      <c r="P67" s="19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I67" s="18" t="n">
        <f aca="false">H67</f>
        <v>46272</v>
      </c>
      <c r="AJ67" s="0" t="n">
        <f aca="false">MAX(I67-H67,1)</f>
        <v>7</v>
      </c>
    </row>
    <row r="68" customFormat="false" ht="15" hidden="false" customHeight="false" outlineLevel="0" collapsed="false">
      <c r="A68" s="7" t="s">
        <v>215</v>
      </c>
      <c r="B68" s="24" t="s">
        <v>208</v>
      </c>
      <c r="C68" s="9" t="s">
        <v>138</v>
      </c>
      <c r="D68" s="9" t="s">
        <v>216</v>
      </c>
      <c r="E68" s="9" t="s">
        <v>41</v>
      </c>
      <c r="F68" s="9" t="s">
        <v>50</v>
      </c>
      <c r="G68" s="10" t="s">
        <v>212</v>
      </c>
      <c r="H68" s="11" t="n">
        <v>46274</v>
      </c>
      <c r="I68" s="11" t="n">
        <v>46281</v>
      </c>
      <c r="J68" s="12" t="n">
        <f aca="false">IF($O68="Milestone","",NETWORKDAYS($H68,$I68))</f>
        <v>6</v>
      </c>
      <c r="K68" s="13" t="n">
        <v>0</v>
      </c>
      <c r="L68" s="9" t="s">
        <v>51</v>
      </c>
      <c r="M68" s="14" t="n">
        <f aca="false" t="array" ref="M68:M68">IF($G68="-","",MAX(IF(ISNUMBER(SEARCH(","&amp;$A$5:$A$87&amp;",",","&amp;$G68&amp;",")),$I$5:$I$87)))</f>
        <v>46279</v>
      </c>
      <c r="N68" s="15" t="str">
        <f aca="false">IF($M68="","-",IF($H68&gt;=$M68,"OK","Overlap"))</f>
        <v>Overlap</v>
      </c>
      <c r="O68" s="12" t="s">
        <v>23</v>
      </c>
      <c r="P68" s="19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I68" s="18" t="n">
        <f aca="false">H68</f>
        <v>46274</v>
      </c>
      <c r="AJ68" s="0" t="n">
        <f aca="false">MAX(I68-H68,1)</f>
        <v>7</v>
      </c>
    </row>
    <row r="69" customFormat="false" ht="15" hidden="false" customHeight="false" outlineLevel="0" collapsed="false">
      <c r="A69" s="7" t="s">
        <v>217</v>
      </c>
      <c r="B69" s="24" t="s">
        <v>208</v>
      </c>
      <c r="C69" s="9" t="s">
        <v>138</v>
      </c>
      <c r="D69" s="9" t="s">
        <v>218</v>
      </c>
      <c r="E69" s="9" t="s">
        <v>41</v>
      </c>
      <c r="F69" s="9" t="s">
        <v>81</v>
      </c>
      <c r="G69" s="10" t="s">
        <v>215</v>
      </c>
      <c r="H69" s="11" t="n">
        <v>46279</v>
      </c>
      <c r="I69" s="11" t="n">
        <v>46283</v>
      </c>
      <c r="J69" s="12" t="n">
        <f aca="false">IF($O69="Milestone","",NETWORKDAYS($H69,$I69))</f>
        <v>5</v>
      </c>
      <c r="K69" s="13" t="n">
        <v>0</v>
      </c>
      <c r="L69" s="9" t="s">
        <v>51</v>
      </c>
      <c r="M69" s="14" t="n">
        <f aca="false" t="array" ref="M69:M69">IF($G69="-","",MAX(IF(ISNUMBER(SEARCH(","&amp;$A$5:$A$87&amp;",",","&amp;$G69&amp;",")),$I$5:$I$87)))</f>
        <v>46281</v>
      </c>
      <c r="N69" s="15" t="str">
        <f aca="false">IF($M69="","-",IF($H69&gt;=$M69,"OK","Overlap"))</f>
        <v>Overlap</v>
      </c>
      <c r="O69" s="12" t="s">
        <v>23</v>
      </c>
      <c r="P69" s="19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I69" s="18" t="n">
        <f aca="false">H69</f>
        <v>46279</v>
      </c>
      <c r="AJ69" s="0" t="n">
        <f aca="false">MAX(I69-H69,1)</f>
        <v>4</v>
      </c>
    </row>
    <row r="70" customFormat="false" ht="15" hidden="false" customHeight="false" outlineLevel="0" collapsed="false">
      <c r="A70" s="7" t="s">
        <v>219</v>
      </c>
      <c r="B70" s="24" t="s">
        <v>208</v>
      </c>
      <c r="C70" s="9" t="s">
        <v>138</v>
      </c>
      <c r="D70" s="9" t="s">
        <v>220</v>
      </c>
      <c r="E70" s="9" t="s">
        <v>41</v>
      </c>
      <c r="F70" s="9" t="s">
        <v>88</v>
      </c>
      <c r="G70" s="10" t="s">
        <v>217</v>
      </c>
      <c r="H70" s="11" t="n">
        <v>46281</v>
      </c>
      <c r="I70" s="11" t="n">
        <v>46288</v>
      </c>
      <c r="J70" s="12" t="n">
        <f aca="false">IF($O70="Milestone","",NETWORKDAYS($H70,$I70))</f>
        <v>6</v>
      </c>
      <c r="K70" s="13" t="n">
        <v>0</v>
      </c>
      <c r="L70" s="9" t="s">
        <v>51</v>
      </c>
      <c r="M70" s="14" t="n">
        <f aca="false" t="array" ref="M70:M70">IF($G70="-","",MAX(IF(ISNUMBER(SEARCH(","&amp;$A$5:$A$87&amp;",",","&amp;$G70&amp;",")),$I$5:$I$87)))</f>
        <v>46283</v>
      </c>
      <c r="N70" s="15" t="str">
        <f aca="false">IF($M70="","-",IF($H70&gt;=$M70,"OK","Overlap"))</f>
        <v>Overlap</v>
      </c>
      <c r="O70" s="12" t="s">
        <v>23</v>
      </c>
      <c r="P70" s="19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I70" s="18" t="n">
        <f aca="false">H70</f>
        <v>46281</v>
      </c>
      <c r="AJ70" s="0" t="n">
        <f aca="false">MAX(I70-H70,1)</f>
        <v>7</v>
      </c>
    </row>
    <row r="71" customFormat="false" ht="15" hidden="false" customHeight="false" outlineLevel="0" collapsed="false">
      <c r="A71" s="7" t="s">
        <v>221</v>
      </c>
      <c r="B71" s="24" t="s">
        <v>208</v>
      </c>
      <c r="C71" s="9" t="s">
        <v>222</v>
      </c>
      <c r="D71" s="9" t="s">
        <v>223</v>
      </c>
      <c r="E71" s="9" t="s">
        <v>41</v>
      </c>
      <c r="F71" s="9" t="s">
        <v>224</v>
      </c>
      <c r="G71" s="10" t="s">
        <v>217</v>
      </c>
      <c r="H71" s="11" t="n">
        <v>46286</v>
      </c>
      <c r="I71" s="11" t="n">
        <v>46290</v>
      </c>
      <c r="J71" s="12" t="n">
        <f aca="false">IF($O71="Milestone","",NETWORKDAYS($H71,$I71))</f>
        <v>5</v>
      </c>
      <c r="K71" s="13" t="n">
        <v>0</v>
      </c>
      <c r="L71" s="9" t="s">
        <v>51</v>
      </c>
      <c r="M71" s="14" t="n">
        <f aca="false" t="array" ref="M71:M71">IF($G71="-","",MAX(IF(ISNUMBER(SEARCH(","&amp;$A$5:$A$87&amp;",",","&amp;$G71&amp;",")),$I$5:$I$87)))</f>
        <v>46283</v>
      </c>
      <c r="N71" s="15" t="str">
        <f aca="false">IF($M71="","-",IF($H71&gt;=$M71,"OK","Overlap"))</f>
        <v>OK</v>
      </c>
      <c r="O71" s="12" t="s">
        <v>23</v>
      </c>
      <c r="P71" s="19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I71" s="18" t="n">
        <f aca="false">H71</f>
        <v>46286</v>
      </c>
      <c r="AJ71" s="0" t="n">
        <f aca="false">MAX(I71-H71,1)</f>
        <v>4</v>
      </c>
    </row>
    <row r="72" customFormat="false" ht="15" hidden="false" customHeight="false" outlineLevel="0" collapsed="false">
      <c r="A72" s="7" t="s">
        <v>225</v>
      </c>
      <c r="B72" s="24" t="s">
        <v>208</v>
      </c>
      <c r="C72" s="9" t="s">
        <v>222</v>
      </c>
      <c r="D72" s="9" t="s">
        <v>226</v>
      </c>
      <c r="E72" s="9" t="s">
        <v>41</v>
      </c>
      <c r="F72" s="9" t="s">
        <v>88</v>
      </c>
      <c r="G72" s="10" t="s">
        <v>221</v>
      </c>
      <c r="H72" s="11" t="n">
        <v>46290</v>
      </c>
      <c r="I72" s="11" t="n">
        <v>46297</v>
      </c>
      <c r="J72" s="12" t="n">
        <f aca="false">IF($O72="Milestone","",NETWORKDAYS($H72,$I72))</f>
        <v>6</v>
      </c>
      <c r="K72" s="13" t="n">
        <v>0</v>
      </c>
      <c r="L72" s="9" t="s">
        <v>51</v>
      </c>
      <c r="M72" s="14" t="n">
        <f aca="false" t="array" ref="M72:M72">IF($G72="-","",MAX(IF(ISNUMBER(SEARCH(","&amp;$A$5:$A$87&amp;",",","&amp;$G72&amp;",")),$I$5:$I$87)))</f>
        <v>46290</v>
      </c>
      <c r="N72" s="15" t="str">
        <f aca="false">IF($M72="","-",IF($H72&gt;=$M72,"OK","Overlap"))</f>
        <v>OK</v>
      </c>
      <c r="O72" s="12" t="s">
        <v>23</v>
      </c>
      <c r="P72" s="19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I72" s="18" t="n">
        <f aca="false">H72</f>
        <v>46290</v>
      </c>
      <c r="AJ72" s="0" t="n">
        <f aca="false">MAX(I72-H72,1)</f>
        <v>7</v>
      </c>
    </row>
    <row r="73" customFormat="false" ht="15" hidden="false" customHeight="false" outlineLevel="0" collapsed="false">
      <c r="A73" s="7" t="s">
        <v>227</v>
      </c>
      <c r="B73" s="24" t="s">
        <v>208</v>
      </c>
      <c r="C73" s="9" t="s">
        <v>222</v>
      </c>
      <c r="D73" s="9" t="s">
        <v>228</v>
      </c>
      <c r="E73" s="9" t="s">
        <v>41</v>
      </c>
      <c r="F73" s="9" t="s">
        <v>50</v>
      </c>
      <c r="G73" s="10" t="s">
        <v>225</v>
      </c>
      <c r="H73" s="11" t="n">
        <v>46293</v>
      </c>
      <c r="I73" s="11" t="n">
        <v>46304</v>
      </c>
      <c r="J73" s="12" t="n">
        <f aca="false">IF($O73="Milestone","",NETWORKDAYS($H73,$I73))</f>
        <v>10</v>
      </c>
      <c r="K73" s="13" t="n">
        <v>0</v>
      </c>
      <c r="L73" s="9" t="s">
        <v>51</v>
      </c>
      <c r="M73" s="14" t="n">
        <f aca="false" t="array" ref="M73:M73">IF($G73="-","",MAX(IF(ISNUMBER(SEARCH(","&amp;$A$5:$A$87&amp;",",","&amp;$G73&amp;",")),$I$5:$I$87)))</f>
        <v>46297</v>
      </c>
      <c r="N73" s="15" t="str">
        <f aca="false">IF($M73="","-",IF($H73&gt;=$M73,"OK","Overlap"))</f>
        <v>Overlap</v>
      </c>
      <c r="O73" s="12" t="s">
        <v>23</v>
      </c>
      <c r="P73" s="19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I73" s="18" t="n">
        <f aca="false">H73</f>
        <v>46293</v>
      </c>
      <c r="AJ73" s="0" t="n">
        <f aca="false">MAX(I73-H73,1)</f>
        <v>11</v>
      </c>
    </row>
    <row r="74" customFormat="false" ht="15" hidden="false" customHeight="false" outlineLevel="0" collapsed="false">
      <c r="A74" s="7" t="s">
        <v>229</v>
      </c>
      <c r="B74" s="24" t="s">
        <v>208</v>
      </c>
      <c r="C74" s="9" t="s">
        <v>222</v>
      </c>
      <c r="D74" s="9" t="s">
        <v>230</v>
      </c>
      <c r="E74" s="9" t="s">
        <v>41</v>
      </c>
      <c r="F74" s="9" t="s">
        <v>130</v>
      </c>
      <c r="G74" s="10" t="s">
        <v>225</v>
      </c>
      <c r="H74" s="11" t="n">
        <v>46304</v>
      </c>
      <c r="I74" s="11" t="n">
        <v>46311</v>
      </c>
      <c r="J74" s="12" t="n">
        <f aca="false">IF($O74="Milestone","",NETWORKDAYS($H74,$I74))</f>
        <v>6</v>
      </c>
      <c r="K74" s="13" t="n">
        <v>0</v>
      </c>
      <c r="L74" s="9" t="s">
        <v>51</v>
      </c>
      <c r="M74" s="14" t="n">
        <f aca="false" t="array" ref="M74:M74">IF($G74="-","",MAX(IF(ISNUMBER(SEARCH(","&amp;$A$5:$A$87&amp;",",","&amp;$G74&amp;",")),$I$5:$I$87)))</f>
        <v>46297</v>
      </c>
      <c r="N74" s="15" t="str">
        <f aca="false">IF($M74="","-",IF($H74&gt;=$M74,"OK","Overlap"))</f>
        <v>OK</v>
      </c>
      <c r="O74" s="12" t="s">
        <v>23</v>
      </c>
      <c r="P74" s="19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I74" s="18" t="n">
        <f aca="false">H74</f>
        <v>46304</v>
      </c>
      <c r="AJ74" s="0" t="n">
        <f aca="false">MAX(I74-H74,1)</f>
        <v>7</v>
      </c>
    </row>
    <row r="75" customFormat="false" ht="15" hidden="false" customHeight="false" outlineLevel="0" collapsed="false">
      <c r="A75" s="7" t="s">
        <v>231</v>
      </c>
      <c r="B75" s="24" t="s">
        <v>208</v>
      </c>
      <c r="C75" s="9" t="s">
        <v>222</v>
      </c>
      <c r="D75" s="7" t="s">
        <v>232</v>
      </c>
      <c r="E75" s="9" t="s">
        <v>41</v>
      </c>
      <c r="F75" s="9" t="s">
        <v>75</v>
      </c>
      <c r="G75" s="10" t="s">
        <v>233</v>
      </c>
      <c r="H75" s="11" t="n">
        <v>46304</v>
      </c>
      <c r="I75" s="11" t="n">
        <v>46304</v>
      </c>
      <c r="J75" s="12" t="str">
        <f aca="false">IF($O75="Milestone","",NETWORKDAYS($H75,$I75))</f>
        <v/>
      </c>
      <c r="K75" s="13" t="n">
        <v>0</v>
      </c>
      <c r="L75" s="9" t="s">
        <v>51</v>
      </c>
      <c r="M75" s="14" t="n">
        <f aca="false" t="array" ref="M75:M75">IF($G75="-","",MAX(IF(ISNUMBER(SEARCH(","&amp;$A$5:$A$87&amp;",",","&amp;$G75&amp;",")),$I$5:$I$87)))</f>
        <v>46304</v>
      </c>
      <c r="N75" s="15" t="str">
        <f aca="false">IF($M75="","-",IF($H75&gt;=$M75,"OK","Overlap"))</f>
        <v>OK</v>
      </c>
      <c r="O75" s="12" t="s">
        <v>57</v>
      </c>
      <c r="P75" s="16" t="s">
        <v>44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I75" s="18" t="n">
        <f aca="false">H75</f>
        <v>46304</v>
      </c>
      <c r="AJ75" s="0" t="n">
        <f aca="false">MAX(I75-H75,1)</f>
        <v>1</v>
      </c>
    </row>
    <row r="76" customFormat="false" ht="15" hidden="false" customHeight="false" outlineLevel="0" collapsed="false">
      <c r="A76" s="7" t="s">
        <v>234</v>
      </c>
      <c r="B76" s="25" t="s">
        <v>235</v>
      </c>
      <c r="C76" s="9" t="s">
        <v>236</v>
      </c>
      <c r="D76" s="9" t="s">
        <v>237</v>
      </c>
      <c r="E76" s="9" t="s">
        <v>111</v>
      </c>
      <c r="F76" s="9" t="s">
        <v>115</v>
      </c>
      <c r="G76" s="10" t="s">
        <v>109</v>
      </c>
      <c r="H76" s="11" t="n">
        <v>46245</v>
      </c>
      <c r="I76" s="11" t="n">
        <v>46276</v>
      </c>
      <c r="J76" s="12" t="n">
        <f aca="false">IF($O76="Milestone","",NETWORKDAYS($H76,$I76))</f>
        <v>24</v>
      </c>
      <c r="K76" s="13" t="n">
        <v>0</v>
      </c>
      <c r="L76" s="9" t="s">
        <v>51</v>
      </c>
      <c r="M76" s="14" t="n">
        <f aca="false" t="array" ref="M76:M76">IF($G76="-","",MAX(IF(ISNUMBER(SEARCH(","&amp;$A$5:$A$87&amp;",",","&amp;$G76&amp;",")),$I$5:$I$87)))</f>
        <v>46238</v>
      </c>
      <c r="N76" s="15" t="str">
        <f aca="false">IF($M76="","-",IF($H76&gt;=$M76,"OK","Overlap"))</f>
        <v>OK</v>
      </c>
      <c r="O76" s="12" t="s">
        <v>23</v>
      </c>
      <c r="P76" s="19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I76" s="18" t="n">
        <f aca="false">H76</f>
        <v>46245</v>
      </c>
      <c r="AJ76" s="0" t="n">
        <f aca="false">MAX(I76-H76,1)</f>
        <v>31</v>
      </c>
    </row>
    <row r="77" customFormat="false" ht="15" hidden="false" customHeight="false" outlineLevel="0" collapsed="false">
      <c r="A77" s="7" t="s">
        <v>238</v>
      </c>
      <c r="B77" s="25" t="s">
        <v>235</v>
      </c>
      <c r="C77" s="9" t="s">
        <v>239</v>
      </c>
      <c r="D77" s="9" t="s">
        <v>240</v>
      </c>
      <c r="E77" s="9" t="s">
        <v>111</v>
      </c>
      <c r="F77" s="9" t="s">
        <v>88</v>
      </c>
      <c r="G77" s="10" t="s">
        <v>42</v>
      </c>
      <c r="H77" s="11" t="n">
        <v>46238</v>
      </c>
      <c r="I77" s="11" t="n">
        <v>46295</v>
      </c>
      <c r="J77" s="12" t="n">
        <f aca="false">IF($O77="Milestone","",NETWORKDAYS($H77,$I77))</f>
        <v>42</v>
      </c>
      <c r="K77" s="13" t="n">
        <v>0</v>
      </c>
      <c r="L77" s="9" t="s">
        <v>51</v>
      </c>
      <c r="M77" s="14" t="str">
        <f aca="false" t="array" ref="M77:M77">IF($G77="-","",MAX(IF(ISNUMBER(SEARCH(","&amp;$A$5:$A$87&amp;",",","&amp;$G77&amp;",")),$I$5:$I$87)))</f>
        <v/>
      </c>
      <c r="N77" s="15" t="str">
        <f aca="false">IF($M77="","-",IF($H77&gt;=$M77,"OK","Overlap"))</f>
        <v>-</v>
      </c>
      <c r="O77" s="12" t="s">
        <v>23</v>
      </c>
      <c r="P77" s="19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I77" s="18" t="n">
        <f aca="false">H77</f>
        <v>46238</v>
      </c>
      <c r="AJ77" s="0" t="n">
        <f aca="false">MAX(I77-H77,1)</f>
        <v>57</v>
      </c>
    </row>
    <row r="78" customFormat="false" ht="15" hidden="false" customHeight="false" outlineLevel="0" collapsed="false">
      <c r="A78" s="7" t="s">
        <v>241</v>
      </c>
      <c r="B78" s="25" t="s">
        <v>235</v>
      </c>
      <c r="C78" s="9" t="s">
        <v>242</v>
      </c>
      <c r="D78" s="9" t="s">
        <v>243</v>
      </c>
      <c r="E78" s="9" t="s">
        <v>111</v>
      </c>
      <c r="F78" s="9" t="s">
        <v>88</v>
      </c>
      <c r="G78" s="10" t="s">
        <v>159</v>
      </c>
      <c r="H78" s="11" t="n">
        <v>46272</v>
      </c>
      <c r="I78" s="11" t="n">
        <v>46295</v>
      </c>
      <c r="J78" s="12" t="n">
        <f aca="false">IF($O78="Milestone","",NETWORKDAYS($H78,$I78))</f>
        <v>18</v>
      </c>
      <c r="K78" s="13" t="n">
        <v>0</v>
      </c>
      <c r="L78" s="9" t="s">
        <v>51</v>
      </c>
      <c r="M78" s="14" t="n">
        <f aca="false" t="array" ref="M78:M78">IF($G78="-","",MAX(IF(ISNUMBER(SEARCH(","&amp;$A$5:$A$87&amp;",",","&amp;$G78&amp;",")),$I$5:$I$87)))</f>
        <v>46290</v>
      </c>
      <c r="N78" s="15" t="str">
        <f aca="false">IF($M78="","-",IF($H78&gt;=$M78,"OK","Overlap"))</f>
        <v>Overlap</v>
      </c>
      <c r="O78" s="12" t="s">
        <v>23</v>
      </c>
      <c r="P78" s="19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I78" s="18" t="n">
        <f aca="false">H78</f>
        <v>46272</v>
      </c>
      <c r="AJ78" s="0" t="n">
        <f aca="false">MAX(I78-H78,1)</f>
        <v>23</v>
      </c>
    </row>
    <row r="79" customFormat="false" ht="15" hidden="false" customHeight="false" outlineLevel="0" collapsed="false">
      <c r="A79" s="7" t="s">
        <v>244</v>
      </c>
      <c r="B79" s="25" t="s">
        <v>235</v>
      </c>
      <c r="C79" s="9" t="s">
        <v>245</v>
      </c>
      <c r="D79" s="9" t="s">
        <v>246</v>
      </c>
      <c r="E79" s="9" t="s">
        <v>111</v>
      </c>
      <c r="F79" s="9" t="s">
        <v>75</v>
      </c>
      <c r="G79" s="10" t="s">
        <v>205</v>
      </c>
      <c r="H79" s="11" t="n">
        <v>46288</v>
      </c>
      <c r="I79" s="11" t="n">
        <v>46295</v>
      </c>
      <c r="J79" s="12" t="n">
        <f aca="false">IF($O79="Milestone","",NETWORKDAYS($H79,$I79))</f>
        <v>6</v>
      </c>
      <c r="K79" s="13" t="n">
        <v>0</v>
      </c>
      <c r="L79" s="9" t="s">
        <v>51</v>
      </c>
      <c r="M79" s="14" t="n">
        <f aca="false" t="array" ref="M79:M79">IF($G79="-","",MAX(IF(ISNUMBER(SEARCH(","&amp;$A$5:$A$87&amp;",",","&amp;$G79&amp;",")),$I$5:$I$87)))</f>
        <v>46288</v>
      </c>
      <c r="N79" s="15" t="str">
        <f aca="false">IF($M79="","-",IF($H79&gt;=$M79,"OK","Overlap"))</f>
        <v>OK</v>
      </c>
      <c r="O79" s="12" t="s">
        <v>23</v>
      </c>
      <c r="P79" s="19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I79" s="18" t="n">
        <f aca="false">H79</f>
        <v>46288</v>
      </c>
      <c r="AJ79" s="0" t="n">
        <f aca="false">MAX(I79-H79,1)</f>
        <v>7</v>
      </c>
    </row>
    <row r="80" customFormat="false" ht="22.35" hidden="false" customHeight="false" outlineLevel="0" collapsed="false">
      <c r="A80" s="7" t="s">
        <v>247</v>
      </c>
      <c r="B80" s="26" t="s">
        <v>248</v>
      </c>
      <c r="C80" s="9" t="s">
        <v>249</v>
      </c>
      <c r="D80" s="9" t="s">
        <v>250</v>
      </c>
      <c r="E80" s="9" t="s">
        <v>251</v>
      </c>
      <c r="F80" s="9" t="s">
        <v>252</v>
      </c>
      <c r="G80" s="10" t="s">
        <v>69</v>
      </c>
      <c r="H80" s="11" t="n">
        <v>46216</v>
      </c>
      <c r="I80" s="11" t="n">
        <v>46223</v>
      </c>
      <c r="J80" s="12" t="n">
        <f aca="false">IF($O80="Milestone","",NETWORKDAYS($H80,$I80))</f>
        <v>6</v>
      </c>
      <c r="K80" s="13" t="n">
        <v>0</v>
      </c>
      <c r="L80" s="9" t="s">
        <v>51</v>
      </c>
      <c r="M80" s="14" t="n">
        <f aca="false" t="array" ref="M80:M80">IF($G80="-","",MAX(IF(ISNUMBER(SEARCH(","&amp;$A$5:$A$87&amp;",",","&amp;$G80&amp;",")),$I$5:$I$87)))</f>
        <v>46218</v>
      </c>
      <c r="N80" s="15" t="str">
        <f aca="false">IF($M80="","-",IF($H80&gt;=$M80,"OK","Overlap"))</f>
        <v>Overlap</v>
      </c>
      <c r="O80" s="12" t="s">
        <v>23</v>
      </c>
      <c r="P80" s="19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I80" s="18" t="n">
        <f aca="false">H80</f>
        <v>46216</v>
      </c>
      <c r="AJ80" s="0" t="n">
        <f aca="false">MAX(I80-H80,1)</f>
        <v>7</v>
      </c>
    </row>
    <row r="81" customFormat="false" ht="22.35" hidden="false" customHeight="false" outlineLevel="0" collapsed="false">
      <c r="A81" s="7" t="s">
        <v>253</v>
      </c>
      <c r="B81" s="26" t="s">
        <v>248</v>
      </c>
      <c r="C81" s="9" t="s">
        <v>236</v>
      </c>
      <c r="D81" s="9" t="s">
        <v>254</v>
      </c>
      <c r="E81" s="9" t="s">
        <v>251</v>
      </c>
      <c r="F81" s="9" t="s">
        <v>255</v>
      </c>
      <c r="G81" s="10" t="s">
        <v>100</v>
      </c>
      <c r="H81" s="11" t="n">
        <v>46227</v>
      </c>
      <c r="I81" s="11" t="n">
        <v>46232</v>
      </c>
      <c r="J81" s="12" t="n">
        <f aca="false">IF($O81="Milestone","",NETWORKDAYS($H81,$I81))</f>
        <v>4</v>
      </c>
      <c r="K81" s="13" t="n">
        <v>0</v>
      </c>
      <c r="L81" s="9" t="s">
        <v>51</v>
      </c>
      <c r="M81" s="14" t="n">
        <f aca="false" t="array" ref="M81:M81">IF($G81="-","",MAX(IF(ISNUMBER(SEARCH(","&amp;$A$5:$A$87&amp;",",","&amp;$G81&amp;",")),$I$5:$I$87)))</f>
        <v>46232</v>
      </c>
      <c r="N81" s="15" t="str">
        <f aca="false">IF($M81="","-",IF($H81&gt;=$M81,"OK","Overlap"))</f>
        <v>Overlap</v>
      </c>
      <c r="O81" s="12" t="s">
        <v>23</v>
      </c>
      <c r="P81" s="19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I81" s="18" t="n">
        <f aca="false">H81</f>
        <v>46227</v>
      </c>
      <c r="AJ81" s="0" t="n">
        <f aca="false">MAX(I81-H81,1)</f>
        <v>5</v>
      </c>
    </row>
    <row r="82" customFormat="false" ht="22.35" hidden="false" customHeight="false" outlineLevel="0" collapsed="false">
      <c r="A82" s="7" t="s">
        <v>256</v>
      </c>
      <c r="B82" s="26" t="s">
        <v>248</v>
      </c>
      <c r="C82" s="9" t="s">
        <v>236</v>
      </c>
      <c r="D82" s="9" t="s">
        <v>257</v>
      </c>
      <c r="E82" s="9" t="s">
        <v>251</v>
      </c>
      <c r="F82" s="9" t="s">
        <v>258</v>
      </c>
      <c r="G82" s="10" t="s">
        <v>89</v>
      </c>
      <c r="H82" s="11" t="n">
        <v>46230</v>
      </c>
      <c r="I82" s="11" t="n">
        <v>46244</v>
      </c>
      <c r="J82" s="12" t="n">
        <f aca="false">IF($O82="Milestone","",NETWORKDAYS($H82,$I82))</f>
        <v>11</v>
      </c>
      <c r="K82" s="13" t="n">
        <v>0</v>
      </c>
      <c r="L82" s="9" t="s">
        <v>51</v>
      </c>
      <c r="M82" s="14" t="n">
        <f aca="false" t="array" ref="M82:M82">IF($G82="-","",MAX(IF(ISNUMBER(SEARCH(","&amp;$A$5:$A$87&amp;",",","&amp;$G82&amp;",")),$I$5:$I$87)))</f>
        <v>46223</v>
      </c>
      <c r="N82" s="15" t="str">
        <f aca="false">IF($M82="","-",IF($H82&gt;=$M82,"OK","Overlap"))</f>
        <v>OK</v>
      </c>
      <c r="O82" s="12" t="s">
        <v>23</v>
      </c>
      <c r="P82" s="19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I82" s="18" t="n">
        <f aca="false">H82</f>
        <v>46230</v>
      </c>
      <c r="AJ82" s="0" t="n">
        <f aca="false">MAX(I82-H82,1)</f>
        <v>14</v>
      </c>
    </row>
    <row r="83" customFormat="false" ht="22.35" hidden="false" customHeight="false" outlineLevel="0" collapsed="false">
      <c r="A83" s="7" t="s">
        <v>259</v>
      </c>
      <c r="B83" s="26" t="s">
        <v>248</v>
      </c>
      <c r="C83" s="9" t="s">
        <v>242</v>
      </c>
      <c r="D83" s="9" t="s">
        <v>260</v>
      </c>
      <c r="E83" s="9" t="s">
        <v>251</v>
      </c>
      <c r="F83" s="9" t="s">
        <v>261</v>
      </c>
      <c r="G83" s="10" t="s">
        <v>145</v>
      </c>
      <c r="H83" s="11" t="n">
        <v>46260</v>
      </c>
      <c r="I83" s="11" t="n">
        <v>46272</v>
      </c>
      <c r="J83" s="12" t="n">
        <f aca="false">IF($O83="Milestone","",NETWORKDAYS($H83,$I83))</f>
        <v>9</v>
      </c>
      <c r="K83" s="13" t="n">
        <v>0</v>
      </c>
      <c r="L83" s="9" t="s">
        <v>51</v>
      </c>
      <c r="M83" s="14" t="n">
        <f aca="false" t="array" ref="M83:M83">IF($G83="-","",MAX(IF(ISNUMBER(SEARCH(","&amp;$A$5:$A$87&amp;",",","&amp;$G83&amp;",")),$I$5:$I$87)))</f>
        <v>46260</v>
      </c>
      <c r="N83" s="15" t="str">
        <f aca="false">IF($M83="","-",IF($H83&gt;=$M83,"OK","Overlap"))</f>
        <v>OK</v>
      </c>
      <c r="O83" s="12" t="s">
        <v>23</v>
      </c>
      <c r="P83" s="19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I83" s="18" t="n">
        <f aca="false">H83</f>
        <v>46260</v>
      </c>
      <c r="AJ83" s="0" t="n">
        <f aca="false">MAX(I83-H83,1)</f>
        <v>12</v>
      </c>
    </row>
    <row r="84" customFormat="false" ht="22.35" hidden="false" customHeight="false" outlineLevel="0" collapsed="false">
      <c r="A84" s="7" t="s">
        <v>262</v>
      </c>
      <c r="B84" s="26" t="s">
        <v>248</v>
      </c>
      <c r="C84" s="9" t="s">
        <v>263</v>
      </c>
      <c r="D84" s="9" t="s">
        <v>264</v>
      </c>
      <c r="E84" s="9" t="s">
        <v>251</v>
      </c>
      <c r="F84" s="9" t="s">
        <v>265</v>
      </c>
      <c r="G84" s="10" t="s">
        <v>171</v>
      </c>
      <c r="H84" s="11" t="n">
        <v>46258</v>
      </c>
      <c r="I84" s="11" t="n">
        <v>46267</v>
      </c>
      <c r="J84" s="12" t="n">
        <f aca="false">IF($O84="Milestone","",NETWORKDAYS($H84,$I84))</f>
        <v>8</v>
      </c>
      <c r="K84" s="13" t="n">
        <v>0</v>
      </c>
      <c r="L84" s="9" t="s">
        <v>51</v>
      </c>
      <c r="M84" s="14" t="n">
        <f aca="false" t="array" ref="M84:M84">IF($G84="-","",MAX(IF(ISNUMBER(SEARCH(","&amp;$A$5:$A$87&amp;",",","&amp;$G84&amp;",")),$I$5:$I$87)))</f>
        <v>46267</v>
      </c>
      <c r="N84" s="15" t="str">
        <f aca="false">IF($M84="","-",IF($H84&gt;=$M84,"OK","Overlap"))</f>
        <v>Overlap</v>
      </c>
      <c r="O84" s="12" t="s">
        <v>23</v>
      </c>
      <c r="P84" s="19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I84" s="18" t="n">
        <f aca="false">H84</f>
        <v>46258</v>
      </c>
      <c r="AJ84" s="0" t="n">
        <f aca="false">MAX(I84-H84,1)</f>
        <v>9</v>
      </c>
    </row>
    <row r="85" customFormat="false" ht="22.35" hidden="false" customHeight="false" outlineLevel="0" collapsed="false">
      <c r="A85" s="7" t="s">
        <v>266</v>
      </c>
      <c r="B85" s="26" t="s">
        <v>248</v>
      </c>
      <c r="C85" s="9" t="s">
        <v>245</v>
      </c>
      <c r="D85" s="9" t="s">
        <v>267</v>
      </c>
      <c r="E85" s="9" t="s">
        <v>251</v>
      </c>
      <c r="F85" s="9" t="s">
        <v>268</v>
      </c>
      <c r="G85" s="10" t="s">
        <v>197</v>
      </c>
      <c r="H85" s="11" t="n">
        <v>46274</v>
      </c>
      <c r="I85" s="11" t="n">
        <v>46283</v>
      </c>
      <c r="J85" s="12" t="n">
        <f aca="false">IF($O85="Milestone","",NETWORKDAYS($H85,$I85))</f>
        <v>8</v>
      </c>
      <c r="K85" s="13" t="n">
        <v>0</v>
      </c>
      <c r="L85" s="9" t="s">
        <v>51</v>
      </c>
      <c r="M85" s="14" t="n">
        <f aca="false" t="array" ref="M85:M85">IF($G85="-","",MAX(IF(ISNUMBER(SEARCH(","&amp;$A$5:$A$87&amp;",",","&amp;$G85&amp;",")),$I$5:$I$87)))</f>
        <v>46274</v>
      </c>
      <c r="N85" s="15" t="str">
        <f aca="false">IF($M85="","-",IF($H85&gt;=$M85,"OK","Overlap"))</f>
        <v>OK</v>
      </c>
      <c r="O85" s="12" t="s">
        <v>23</v>
      </c>
      <c r="P85" s="19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I85" s="18" t="n">
        <f aca="false">H85</f>
        <v>46274</v>
      </c>
      <c r="AJ85" s="0" t="n">
        <f aca="false">MAX(I85-H85,1)</f>
        <v>9</v>
      </c>
    </row>
    <row r="86" customFormat="false" ht="22.35" hidden="false" customHeight="false" outlineLevel="0" collapsed="false">
      <c r="A86" s="7" t="s">
        <v>269</v>
      </c>
      <c r="B86" s="26" t="s">
        <v>248</v>
      </c>
      <c r="C86" s="9" t="s">
        <v>270</v>
      </c>
      <c r="D86" s="9" t="s">
        <v>271</v>
      </c>
      <c r="E86" s="9" t="s">
        <v>251</v>
      </c>
      <c r="F86" s="9" t="s">
        <v>272</v>
      </c>
      <c r="G86" s="10" t="s">
        <v>219</v>
      </c>
      <c r="H86" s="11" t="n">
        <v>46288</v>
      </c>
      <c r="I86" s="11" t="n">
        <v>46297</v>
      </c>
      <c r="J86" s="12" t="n">
        <f aca="false">IF($O86="Milestone","",NETWORKDAYS($H86,$I86))</f>
        <v>8</v>
      </c>
      <c r="K86" s="13" t="n">
        <v>0</v>
      </c>
      <c r="L86" s="9" t="s">
        <v>51</v>
      </c>
      <c r="M86" s="14" t="n">
        <f aca="false" t="array" ref="M86:M86">IF($G86="-","",MAX(IF(ISNUMBER(SEARCH(","&amp;$A$5:$A$87&amp;",",","&amp;$G86&amp;",")),$I$5:$I$87)))</f>
        <v>46288</v>
      </c>
      <c r="N86" s="15" t="str">
        <f aca="false">IF($M86="","-",IF($H86&gt;=$M86,"OK","Overlap"))</f>
        <v>OK</v>
      </c>
      <c r="O86" s="12" t="s">
        <v>23</v>
      </c>
      <c r="P86" s="19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I86" s="18" t="n">
        <f aca="false">H86</f>
        <v>46288</v>
      </c>
      <c r="AJ86" s="0" t="n">
        <f aca="false">MAX(I86-H86,1)</f>
        <v>9</v>
      </c>
    </row>
    <row r="87" customFormat="false" ht="22.35" hidden="false" customHeight="false" outlineLevel="0" collapsed="false">
      <c r="A87" s="7" t="s">
        <v>273</v>
      </c>
      <c r="B87" s="26" t="s">
        <v>248</v>
      </c>
      <c r="C87" s="9" t="s">
        <v>274</v>
      </c>
      <c r="D87" s="9" t="s">
        <v>275</v>
      </c>
      <c r="E87" s="9" t="s">
        <v>251</v>
      </c>
      <c r="F87" s="9" t="s">
        <v>276</v>
      </c>
      <c r="G87" s="10" t="s">
        <v>256</v>
      </c>
      <c r="H87" s="11" t="n">
        <v>46279</v>
      </c>
      <c r="I87" s="11" t="n">
        <v>46295</v>
      </c>
      <c r="J87" s="12" t="n">
        <f aca="false">IF($O87="Milestone","",NETWORKDAYS($H87,$I87))</f>
        <v>13</v>
      </c>
      <c r="K87" s="13" t="n">
        <v>0</v>
      </c>
      <c r="L87" s="9" t="s">
        <v>51</v>
      </c>
      <c r="M87" s="14" t="n">
        <f aca="false" t="array" ref="M87:M87">IF($G87="-","",MAX(IF(ISNUMBER(SEARCH(","&amp;$A$5:$A$87&amp;",",","&amp;$G87&amp;",")),$I$5:$I$87)))</f>
        <v>46244</v>
      </c>
      <c r="N87" s="15" t="str">
        <f aca="false">IF($M87="","-",IF($H87&gt;=$M87,"OK","Overlap"))</f>
        <v>OK</v>
      </c>
      <c r="O87" s="12" t="s">
        <v>23</v>
      </c>
      <c r="P87" s="19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I87" s="18" t="n">
        <f aca="false">H87</f>
        <v>46279</v>
      </c>
      <c r="AJ87" s="0" t="n">
        <f aca="false">MAX(I87-H87,1)</f>
        <v>16</v>
      </c>
    </row>
  </sheetData>
  <autoFilter ref="A4:P87"/>
  <mergeCells count="3">
    <mergeCell ref="A1:AG1"/>
    <mergeCell ref="A2:AG2"/>
    <mergeCell ref="A3:P3"/>
  </mergeCells>
  <conditionalFormatting sqref="Q5:AG87">
    <cfRule type="expression" priority="2" aboveAverage="0" equalAverage="0" bottom="0" percent="0" rank="0" text="" dxfId="14">
      <formula>AND($O5="Milestone",$H5&lt;=Q$4+6,$I5&gt;=Q$4)</formula>
    </cfRule>
    <cfRule type="expression" priority="3" aboveAverage="0" equalAverage="0" bottom="0" percent="0" rank="0" text="" dxfId="15">
      <formula>AND($H5&lt;=Q$4+6,$I5&gt;=Q$4,Q$4+6&lt;=$H5+$K5*($I5-$H5))</formula>
    </cfRule>
    <cfRule type="expression" priority="4" aboveAverage="0" equalAverage="0" bottom="0" percent="0" rank="0" text="" dxfId="16">
      <formula>AND($P5="Y",$H5&lt;=Q$4+6,$I5&gt;=Q$4)</formula>
    </cfRule>
    <cfRule type="expression" priority="5" aboveAverage="0" equalAverage="0" bottom="0" percent="0" rank="0" text="" dxfId="17">
      <formula>AND($B5="0 Network",$H5&lt;=Q$4+6,$I5&gt;=Q$4)</formula>
    </cfRule>
    <cfRule type="expression" priority="6" aboveAverage="0" equalAverage="0" bottom="0" percent="0" rank="0" text="" dxfId="18">
      <formula>AND($B5="1 Job Seeker",$H5&lt;=Q$4+6,$I5&gt;=Q$4)</formula>
    </cfRule>
    <cfRule type="expression" priority="7" aboveAverage="0" equalAverage="0" bottom="0" percent="0" rank="0" text="" dxfId="19">
      <formula>AND($B5="2 Standard User",$H5&lt;=Q$4+6,$I5&gt;=Q$4)</formula>
    </cfRule>
    <cfRule type="expression" priority="8" aboveAverage="0" equalAverage="0" bottom="0" percent="0" rank="0" text="" dxfId="20">
      <formula>AND($B5="3 ES",$H5&lt;=Q$4+6,$I5&gt;=Q$4)</formula>
    </cfRule>
    <cfRule type="expression" priority="9" aboveAverage="0" equalAverage="0" bottom="0" percent="0" rank="0" text="" dxfId="21">
      <formula>AND($B5="4 Privileged",$H5&lt;=Q$4+6,$I5&gt;=Q$4)</formula>
    </cfRule>
    <cfRule type="expression" priority="10" aboveAverage="0" equalAverage="0" bottom="0" percent="0" rank="0" text="" dxfId="22">
      <formula>AND($B5="5 Developer",$H5&lt;=Q$4+6,$I5&gt;=Q$4)</formula>
    </cfRule>
    <cfRule type="expression" priority="11" aboveAverage="0" equalAverage="0" bottom="0" percent="0" rank="0" text="" dxfId="23">
      <formula>AND($B5="6 Logistics",$H5&lt;=Q$4+6,$I5&gt;=Q$4)</formula>
    </cfRule>
    <cfRule type="expression" priority="12" aboveAverage="0" equalAverage="0" bottom="0" percent="0" rank="0" text="" dxfId="24">
      <formula>AND($B5="7 KB &amp; Enablement",$H5&lt;=Q$4+6,$I5&gt;=Q$4)</formula>
    </cfRule>
    <cfRule type="expression" priority="13" aboveAverage="0" equalAverage="0" bottom="0" percent="0" rank="0" text="" dxfId="25">
      <formula>AND(Q$4&lt;=TODAY(),Q$4+6&gt;=TODAY())</formula>
    </cfRule>
  </conditionalFormatting>
  <conditionalFormatting sqref="Q4:AG4">
    <cfRule type="expression" priority="14" aboveAverage="0" equalAverage="0" bottom="0" percent="0" rank="0" text="" dxfId="26">
      <formula>AND(Q4&lt;=TODAY(),Q4+6&gt;=TODAY())</formula>
    </cfRule>
  </conditionalFormatting>
  <dataValidations count="2">
    <dataValidation allowBlank="true" errorStyle="stop" operator="between" showDropDown="false" showErrorMessage="false" showInputMessage="false" sqref="L5:L87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K5:K87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7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28" t="s">
        <v>278</v>
      </c>
      <c r="B1" s="28"/>
      <c r="C1" s="28"/>
      <c r="D1" s="28"/>
      <c r="E1" s="28"/>
    </row>
    <row r="2" customFormat="false" ht="15" hidden="false" customHeight="false" outlineLevel="0" collapsed="false">
      <c r="A2" s="29" t="s">
        <v>279</v>
      </c>
      <c r="B2" s="29" t="s">
        <v>280</v>
      </c>
      <c r="C2" s="29" t="s">
        <v>281</v>
      </c>
      <c r="D2" s="29" t="s">
        <v>282</v>
      </c>
      <c r="E2" s="29" t="s">
        <v>283</v>
      </c>
    </row>
    <row r="3" customFormat="false" ht="22.35" hidden="false" customHeight="false" outlineLevel="0" collapsed="false">
      <c r="A3" s="30" t="s">
        <v>284</v>
      </c>
      <c r="B3" s="30" t="s">
        <v>285</v>
      </c>
      <c r="C3" s="30" t="s">
        <v>286</v>
      </c>
      <c r="D3" s="30" t="s">
        <v>287</v>
      </c>
      <c r="E3" s="30" t="s">
        <v>42</v>
      </c>
    </row>
    <row r="4" customFormat="false" ht="15" hidden="false" customHeight="false" outlineLevel="0" collapsed="false">
      <c r="A4" s="30" t="s">
        <v>288</v>
      </c>
      <c r="B4" s="30" t="s">
        <v>285</v>
      </c>
      <c r="C4" s="30" t="s">
        <v>289</v>
      </c>
      <c r="D4" s="30" t="s">
        <v>290</v>
      </c>
      <c r="E4" s="30" t="s">
        <v>42</v>
      </c>
    </row>
    <row r="5" customFormat="false" ht="15" hidden="false" customHeight="false" outlineLevel="0" collapsed="false">
      <c r="A5" s="30" t="s">
        <v>291</v>
      </c>
      <c r="B5" s="30" t="s">
        <v>285</v>
      </c>
      <c r="C5" s="30" t="s">
        <v>292</v>
      </c>
      <c r="D5" s="30" t="s">
        <v>293</v>
      </c>
      <c r="E5" s="30" t="s">
        <v>42</v>
      </c>
    </row>
    <row r="6" customFormat="false" ht="22.35" hidden="false" customHeight="false" outlineLevel="0" collapsed="false">
      <c r="A6" s="30" t="s">
        <v>294</v>
      </c>
      <c r="B6" s="30" t="s">
        <v>285</v>
      </c>
      <c r="C6" s="30" t="s">
        <v>295</v>
      </c>
      <c r="D6" s="30" t="s">
        <v>296</v>
      </c>
      <c r="E6" s="30" t="s">
        <v>42</v>
      </c>
    </row>
    <row r="7" customFormat="false" ht="22.35" hidden="false" customHeight="false" outlineLevel="0" collapsed="false">
      <c r="A7" s="30" t="s">
        <v>297</v>
      </c>
      <c r="B7" s="30" t="s">
        <v>285</v>
      </c>
      <c r="C7" s="30" t="s">
        <v>298</v>
      </c>
      <c r="D7" s="30" t="s">
        <v>299</v>
      </c>
      <c r="E7" s="30" t="s">
        <v>294</v>
      </c>
    </row>
    <row r="8" customFormat="false" ht="15" hidden="false" customHeight="false" outlineLevel="0" collapsed="false">
      <c r="A8" s="30" t="s">
        <v>300</v>
      </c>
      <c r="B8" s="30" t="s">
        <v>285</v>
      </c>
      <c r="C8" s="30" t="s">
        <v>301</v>
      </c>
      <c r="D8" s="30" t="s">
        <v>302</v>
      </c>
      <c r="E8" s="30" t="s">
        <v>303</v>
      </c>
    </row>
    <row r="9" customFormat="false" ht="22.35" hidden="false" customHeight="false" outlineLevel="0" collapsed="false">
      <c r="A9" s="30" t="s">
        <v>304</v>
      </c>
      <c r="B9" s="30" t="s">
        <v>285</v>
      </c>
      <c r="C9" s="30" t="s">
        <v>305</v>
      </c>
      <c r="D9" s="30" t="s">
        <v>306</v>
      </c>
      <c r="E9" s="30" t="s">
        <v>303</v>
      </c>
    </row>
    <row r="10" customFormat="false" ht="15" hidden="false" customHeight="false" outlineLevel="0" collapsed="false">
      <c r="A10" s="30" t="s">
        <v>307</v>
      </c>
      <c r="B10" s="30" t="s">
        <v>285</v>
      </c>
      <c r="C10" s="30" t="s">
        <v>308</v>
      </c>
      <c r="D10" s="30" t="s">
        <v>309</v>
      </c>
      <c r="E10" s="30" t="s">
        <v>310</v>
      </c>
    </row>
    <row r="11" customFormat="false" ht="15" hidden="false" customHeight="false" outlineLevel="0" collapsed="false">
      <c r="A11" s="30" t="s">
        <v>311</v>
      </c>
      <c r="B11" s="30" t="s">
        <v>285</v>
      </c>
      <c r="C11" s="30" t="s">
        <v>312</v>
      </c>
      <c r="D11" s="30" t="s">
        <v>313</v>
      </c>
      <c r="E11" s="30" t="s">
        <v>310</v>
      </c>
    </row>
    <row r="12" customFormat="false" ht="15" hidden="false" customHeight="false" outlineLevel="0" collapsed="false">
      <c r="A12" s="30" t="s">
        <v>314</v>
      </c>
      <c r="B12" s="30" t="s">
        <v>285</v>
      </c>
      <c r="C12" s="30" t="s">
        <v>315</v>
      </c>
      <c r="D12" s="30" t="s">
        <v>316</v>
      </c>
      <c r="E12" s="30" t="s">
        <v>310</v>
      </c>
    </row>
    <row r="13" customFormat="false" ht="15" hidden="false" customHeight="false" outlineLevel="0" collapsed="false">
      <c r="A13" s="30" t="s">
        <v>317</v>
      </c>
      <c r="B13" s="30" t="s">
        <v>285</v>
      </c>
      <c r="C13" s="30" t="s">
        <v>318</v>
      </c>
      <c r="D13" s="30" t="s">
        <v>319</v>
      </c>
      <c r="E13" s="30" t="s">
        <v>42</v>
      </c>
    </row>
    <row r="14" customFormat="false" ht="15" hidden="false" customHeight="false" outlineLevel="0" collapsed="false">
      <c r="A14" s="30" t="s">
        <v>320</v>
      </c>
      <c r="B14" s="30" t="s">
        <v>285</v>
      </c>
      <c r="C14" s="30" t="s">
        <v>321</v>
      </c>
      <c r="D14" s="30" t="s">
        <v>322</v>
      </c>
      <c r="E14" s="30" t="s">
        <v>42</v>
      </c>
    </row>
    <row r="15" customFormat="false" ht="15" hidden="false" customHeight="false" outlineLevel="0" collapsed="false">
      <c r="A15" s="30" t="s">
        <v>323</v>
      </c>
      <c r="B15" s="30" t="s">
        <v>285</v>
      </c>
      <c r="C15" s="30" t="s">
        <v>324</v>
      </c>
      <c r="D15" s="30" t="s">
        <v>325</v>
      </c>
      <c r="E15" s="30" t="s">
        <v>42</v>
      </c>
    </row>
    <row r="16" customFormat="false" ht="22.35" hidden="false" customHeight="false" outlineLevel="0" collapsed="false">
      <c r="A16" s="30" t="s">
        <v>326</v>
      </c>
      <c r="B16" s="30" t="s">
        <v>285</v>
      </c>
      <c r="C16" s="30" t="s">
        <v>327</v>
      </c>
      <c r="D16" s="30" t="s">
        <v>328</v>
      </c>
      <c r="E16" s="30" t="s">
        <v>310</v>
      </c>
    </row>
    <row r="17" customFormat="false" ht="15" hidden="false" customHeight="false" outlineLevel="0" collapsed="false">
      <c r="A17" s="31" t="s">
        <v>329</v>
      </c>
      <c r="B17" s="31" t="s">
        <v>330</v>
      </c>
      <c r="C17" s="31" t="s">
        <v>331</v>
      </c>
      <c r="D17" s="31" t="s">
        <v>332</v>
      </c>
      <c r="E17" s="31" t="s">
        <v>291</v>
      </c>
    </row>
    <row r="18" customFormat="false" ht="15" hidden="false" customHeight="false" outlineLevel="0" collapsed="false">
      <c r="A18" s="31" t="s">
        <v>333</v>
      </c>
      <c r="B18" s="31" t="s">
        <v>330</v>
      </c>
      <c r="C18" s="31" t="s">
        <v>334</v>
      </c>
      <c r="D18" s="31" t="s">
        <v>335</v>
      </c>
      <c r="E18" s="31" t="s">
        <v>284</v>
      </c>
    </row>
    <row r="19" customFormat="false" ht="15" hidden="false" customHeight="false" outlineLevel="0" collapsed="false">
      <c r="A19" s="31" t="s">
        <v>336</v>
      </c>
      <c r="B19" s="31" t="s">
        <v>330</v>
      </c>
      <c r="C19" s="31" t="s">
        <v>337</v>
      </c>
      <c r="D19" s="31" t="s">
        <v>338</v>
      </c>
      <c r="E19" s="31" t="s">
        <v>284</v>
      </c>
    </row>
    <row r="20" customFormat="false" ht="15" hidden="false" customHeight="false" outlineLevel="0" collapsed="false">
      <c r="A20" s="30" t="s">
        <v>103</v>
      </c>
      <c r="B20" s="30" t="s">
        <v>339</v>
      </c>
      <c r="C20" s="30" t="s">
        <v>340</v>
      </c>
      <c r="D20" s="30" t="s">
        <v>341</v>
      </c>
      <c r="E20" s="30" t="s">
        <v>42</v>
      </c>
    </row>
    <row r="21" customFormat="false" ht="15" hidden="false" customHeight="false" outlineLevel="0" collapsed="false">
      <c r="A21" s="30" t="s">
        <v>81</v>
      </c>
      <c r="B21" s="30" t="s">
        <v>339</v>
      </c>
      <c r="C21" s="30" t="s">
        <v>342</v>
      </c>
      <c r="D21" s="30" t="s">
        <v>343</v>
      </c>
      <c r="E21" s="30" t="s">
        <v>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2" t="s">
        <v>344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29" t="s">
        <v>345</v>
      </c>
      <c r="B2" s="29" t="s">
        <v>21</v>
      </c>
      <c r="C2" s="29" t="s">
        <v>346</v>
      </c>
      <c r="D2" s="29" t="s">
        <v>347</v>
      </c>
      <c r="E2" s="29" t="s">
        <v>348</v>
      </c>
      <c r="F2" s="29" t="s">
        <v>349</v>
      </c>
      <c r="G2" s="29" t="s">
        <v>350</v>
      </c>
      <c r="H2" s="29" t="s">
        <v>31</v>
      </c>
    </row>
    <row r="3" customFormat="false" ht="15" hidden="false" customHeight="false" outlineLevel="0" collapsed="false">
      <c r="A3" s="30" t="s">
        <v>351</v>
      </c>
      <c r="B3" s="30" t="s">
        <v>37</v>
      </c>
      <c r="C3" s="30" t="s">
        <v>352</v>
      </c>
      <c r="D3" s="30" t="s">
        <v>333</v>
      </c>
      <c r="E3" s="30" t="s">
        <v>314</v>
      </c>
      <c r="F3" s="30" t="s">
        <v>300</v>
      </c>
      <c r="G3" s="30" t="s">
        <v>249</v>
      </c>
      <c r="H3" s="30" t="s">
        <v>51</v>
      </c>
    </row>
    <row r="4" customFormat="false" ht="15" hidden="false" customHeight="false" outlineLevel="0" collapsed="false">
      <c r="A4" s="30" t="s">
        <v>353</v>
      </c>
      <c r="B4" s="30" t="s">
        <v>37</v>
      </c>
      <c r="C4" s="30" t="s">
        <v>354</v>
      </c>
      <c r="D4" s="30" t="s">
        <v>333</v>
      </c>
      <c r="E4" s="30" t="s">
        <v>314</v>
      </c>
      <c r="F4" s="30" t="s">
        <v>329</v>
      </c>
      <c r="G4" s="30" t="s">
        <v>355</v>
      </c>
      <c r="H4" s="30" t="s">
        <v>51</v>
      </c>
    </row>
    <row r="5" customFormat="false" ht="15" hidden="false" customHeight="false" outlineLevel="0" collapsed="false">
      <c r="A5" s="30" t="s">
        <v>356</v>
      </c>
      <c r="B5" s="30" t="s">
        <v>78</v>
      </c>
      <c r="C5" s="30" t="s">
        <v>357</v>
      </c>
      <c r="D5" s="30" t="s">
        <v>333</v>
      </c>
      <c r="E5" s="30" t="s">
        <v>314</v>
      </c>
      <c r="F5" s="30" t="s">
        <v>358</v>
      </c>
      <c r="G5" s="30" t="s">
        <v>359</v>
      </c>
      <c r="H5" s="30" t="s">
        <v>51</v>
      </c>
    </row>
    <row r="6" customFormat="false" ht="15" hidden="false" customHeight="false" outlineLevel="0" collapsed="false">
      <c r="A6" s="30" t="s">
        <v>360</v>
      </c>
      <c r="B6" s="30" t="s">
        <v>78</v>
      </c>
      <c r="C6" s="30" t="s">
        <v>361</v>
      </c>
      <c r="D6" s="30" t="s">
        <v>333</v>
      </c>
      <c r="E6" s="30" t="s">
        <v>314</v>
      </c>
      <c r="F6" s="30" t="s">
        <v>304</v>
      </c>
      <c r="G6" s="30" t="s">
        <v>362</v>
      </c>
      <c r="H6" s="30" t="s">
        <v>51</v>
      </c>
    </row>
    <row r="7" customFormat="false" ht="15" hidden="false" customHeight="false" outlineLevel="0" collapsed="false">
      <c r="A7" s="30" t="s">
        <v>363</v>
      </c>
      <c r="B7" s="30" t="s">
        <v>78</v>
      </c>
      <c r="C7" s="30" t="s">
        <v>364</v>
      </c>
      <c r="D7" s="30" t="s">
        <v>333</v>
      </c>
      <c r="E7" s="30" t="s">
        <v>314</v>
      </c>
      <c r="F7" s="30" t="s">
        <v>307</v>
      </c>
      <c r="G7" s="30" t="s">
        <v>365</v>
      </c>
      <c r="H7" s="30" t="s">
        <v>51</v>
      </c>
    </row>
    <row r="8" customFormat="false" ht="15" hidden="false" customHeight="false" outlineLevel="0" collapsed="false">
      <c r="A8" s="30" t="s">
        <v>366</v>
      </c>
      <c r="B8" s="30" t="s">
        <v>78</v>
      </c>
      <c r="C8" s="30" t="s">
        <v>367</v>
      </c>
      <c r="D8" s="30" t="s">
        <v>333</v>
      </c>
      <c r="E8" s="30" t="s">
        <v>314</v>
      </c>
      <c r="F8" s="30" t="s">
        <v>304</v>
      </c>
      <c r="G8" s="30" t="s">
        <v>362</v>
      </c>
      <c r="H8" s="30" t="s">
        <v>51</v>
      </c>
    </row>
    <row r="9" customFormat="false" ht="15" hidden="false" customHeight="false" outlineLevel="0" collapsed="false">
      <c r="A9" s="30" t="s">
        <v>368</v>
      </c>
      <c r="B9" s="30" t="s">
        <v>78</v>
      </c>
      <c r="C9" s="30" t="s">
        <v>369</v>
      </c>
      <c r="D9" s="30" t="s">
        <v>333</v>
      </c>
      <c r="E9" s="30" t="s">
        <v>314</v>
      </c>
      <c r="F9" s="30" t="s">
        <v>300</v>
      </c>
      <c r="G9" s="30" t="s">
        <v>249</v>
      </c>
      <c r="H9" s="30" t="s">
        <v>51</v>
      </c>
    </row>
    <row r="10" customFormat="false" ht="15" hidden="false" customHeight="false" outlineLevel="0" collapsed="false">
      <c r="A10" s="30" t="s">
        <v>370</v>
      </c>
      <c r="B10" s="30" t="s">
        <v>78</v>
      </c>
      <c r="C10" s="30" t="s">
        <v>371</v>
      </c>
      <c r="D10" s="30" t="s">
        <v>333</v>
      </c>
      <c r="E10" s="30" t="s">
        <v>314</v>
      </c>
      <c r="F10" s="30" t="s">
        <v>311</v>
      </c>
      <c r="G10" s="30" t="s">
        <v>274</v>
      </c>
      <c r="H10" s="30" t="s">
        <v>51</v>
      </c>
    </row>
    <row r="11" customFormat="false" ht="15" hidden="false" customHeight="false" outlineLevel="0" collapsed="false">
      <c r="A11" s="30" t="s">
        <v>372</v>
      </c>
      <c r="B11" s="30" t="s">
        <v>125</v>
      </c>
      <c r="C11" s="30" t="s">
        <v>373</v>
      </c>
      <c r="D11" s="30" t="s">
        <v>333</v>
      </c>
      <c r="E11" s="30" t="s">
        <v>314</v>
      </c>
      <c r="F11" s="30" t="s">
        <v>307</v>
      </c>
      <c r="G11" s="30" t="s">
        <v>365</v>
      </c>
      <c r="H11" s="30" t="s">
        <v>51</v>
      </c>
    </row>
    <row r="12" customFormat="false" ht="15" hidden="false" customHeight="false" outlineLevel="0" collapsed="false">
      <c r="A12" s="30" t="s">
        <v>374</v>
      </c>
      <c r="B12" s="30" t="s">
        <v>125</v>
      </c>
      <c r="C12" s="30" t="s">
        <v>375</v>
      </c>
      <c r="D12" s="30" t="s">
        <v>333</v>
      </c>
      <c r="E12" s="30" t="s">
        <v>314</v>
      </c>
      <c r="F12" s="30" t="s">
        <v>307</v>
      </c>
      <c r="G12" s="30" t="s">
        <v>365</v>
      </c>
      <c r="H12" s="30" t="s">
        <v>51</v>
      </c>
    </row>
    <row r="13" customFormat="false" ht="15" hidden="false" customHeight="false" outlineLevel="0" collapsed="false">
      <c r="A13" s="30" t="s">
        <v>376</v>
      </c>
      <c r="B13" s="30" t="s">
        <v>125</v>
      </c>
      <c r="C13" s="30" t="s">
        <v>377</v>
      </c>
      <c r="D13" s="30" t="s">
        <v>333</v>
      </c>
      <c r="E13" s="30" t="s">
        <v>314</v>
      </c>
      <c r="F13" s="30" t="s">
        <v>304</v>
      </c>
      <c r="G13" s="30" t="s">
        <v>362</v>
      </c>
      <c r="H13" s="30" t="s">
        <v>51</v>
      </c>
    </row>
    <row r="14" customFormat="false" ht="15" hidden="false" customHeight="false" outlineLevel="0" collapsed="false">
      <c r="A14" s="30" t="s">
        <v>378</v>
      </c>
      <c r="B14" s="30" t="s">
        <v>125</v>
      </c>
      <c r="C14" s="30" t="s">
        <v>379</v>
      </c>
      <c r="D14" s="30" t="s">
        <v>333</v>
      </c>
      <c r="E14" s="30" t="s">
        <v>314</v>
      </c>
      <c r="F14" s="30" t="s">
        <v>311</v>
      </c>
      <c r="G14" s="30" t="s">
        <v>274</v>
      </c>
      <c r="H14" s="30" t="s">
        <v>51</v>
      </c>
    </row>
    <row r="15" customFormat="false" ht="15" hidden="false" customHeight="false" outlineLevel="0" collapsed="false">
      <c r="A15" s="30" t="s">
        <v>380</v>
      </c>
      <c r="B15" s="30" t="s">
        <v>125</v>
      </c>
      <c r="C15" s="30" t="s">
        <v>381</v>
      </c>
      <c r="D15" s="30" t="s">
        <v>333</v>
      </c>
      <c r="E15" s="30" t="s">
        <v>314</v>
      </c>
      <c r="F15" s="30" t="s">
        <v>307</v>
      </c>
      <c r="G15" s="30" t="s">
        <v>365</v>
      </c>
      <c r="H15" s="30" t="s">
        <v>51</v>
      </c>
    </row>
    <row r="16" customFormat="false" ht="15" hidden="false" customHeight="false" outlineLevel="0" collapsed="false">
      <c r="A16" s="30" t="s">
        <v>382</v>
      </c>
      <c r="B16" s="30" t="s">
        <v>162</v>
      </c>
      <c r="C16" s="30" t="s">
        <v>383</v>
      </c>
      <c r="D16" s="30" t="s">
        <v>333</v>
      </c>
      <c r="E16" s="30" t="s">
        <v>314</v>
      </c>
      <c r="F16" s="30" t="s">
        <v>317</v>
      </c>
      <c r="G16" s="30" t="s">
        <v>263</v>
      </c>
      <c r="H16" s="30" t="s">
        <v>51</v>
      </c>
    </row>
    <row r="17" customFormat="false" ht="15" hidden="false" customHeight="false" outlineLevel="0" collapsed="false">
      <c r="A17" s="30" t="s">
        <v>384</v>
      </c>
      <c r="B17" s="30" t="s">
        <v>162</v>
      </c>
      <c r="C17" s="30" t="s">
        <v>385</v>
      </c>
      <c r="D17" s="30" t="s">
        <v>333</v>
      </c>
      <c r="E17" s="30" t="s">
        <v>314</v>
      </c>
      <c r="F17" s="30" t="s">
        <v>311</v>
      </c>
      <c r="G17" s="30" t="s">
        <v>274</v>
      </c>
      <c r="H17" s="30" t="s">
        <v>51</v>
      </c>
    </row>
    <row r="18" customFormat="false" ht="15" hidden="false" customHeight="false" outlineLevel="0" collapsed="false">
      <c r="A18" s="30" t="s">
        <v>386</v>
      </c>
      <c r="B18" s="30" t="s">
        <v>162</v>
      </c>
      <c r="C18" s="30" t="s">
        <v>387</v>
      </c>
      <c r="D18" s="30" t="s">
        <v>333</v>
      </c>
      <c r="E18" s="30" t="s">
        <v>314</v>
      </c>
      <c r="F18" s="30" t="s">
        <v>323</v>
      </c>
      <c r="G18" s="30" t="s">
        <v>263</v>
      </c>
      <c r="H18" s="30" t="s">
        <v>51</v>
      </c>
    </row>
    <row r="19" customFormat="false" ht="15" hidden="false" customHeight="false" outlineLevel="0" collapsed="false">
      <c r="A19" s="30" t="s">
        <v>388</v>
      </c>
      <c r="B19" s="30" t="s">
        <v>182</v>
      </c>
      <c r="C19" s="30" t="s">
        <v>389</v>
      </c>
      <c r="D19" s="30" t="s">
        <v>333</v>
      </c>
      <c r="E19" s="30" t="s">
        <v>314</v>
      </c>
      <c r="F19" s="30" t="s">
        <v>304</v>
      </c>
      <c r="G19" s="30" t="s">
        <v>390</v>
      </c>
      <c r="H19" s="30" t="s">
        <v>51</v>
      </c>
    </row>
    <row r="20" customFormat="false" ht="15" hidden="false" customHeight="false" outlineLevel="0" collapsed="false">
      <c r="A20" s="30" t="s">
        <v>391</v>
      </c>
      <c r="B20" s="30" t="s">
        <v>182</v>
      </c>
      <c r="C20" s="30" t="s">
        <v>392</v>
      </c>
      <c r="D20" s="30" t="s">
        <v>333</v>
      </c>
      <c r="E20" s="30" t="s">
        <v>314</v>
      </c>
      <c r="F20" s="30" t="s">
        <v>304</v>
      </c>
      <c r="G20" s="30" t="s">
        <v>390</v>
      </c>
      <c r="H20" s="30" t="s">
        <v>51</v>
      </c>
    </row>
    <row r="21" customFormat="false" ht="15" hidden="false" customHeight="false" outlineLevel="0" collapsed="false">
      <c r="A21" s="30" t="s">
        <v>393</v>
      </c>
      <c r="B21" s="30" t="s">
        <v>182</v>
      </c>
      <c r="C21" s="30" t="s">
        <v>394</v>
      </c>
      <c r="D21" s="30" t="s">
        <v>333</v>
      </c>
      <c r="E21" s="30" t="s">
        <v>314</v>
      </c>
      <c r="F21" s="30" t="s">
        <v>304</v>
      </c>
      <c r="G21" s="30" t="s">
        <v>390</v>
      </c>
      <c r="H21" s="30" t="s">
        <v>51</v>
      </c>
    </row>
    <row r="22" customFormat="false" ht="15" hidden="false" customHeight="false" outlineLevel="0" collapsed="false">
      <c r="A22" s="30" t="s">
        <v>395</v>
      </c>
      <c r="B22" s="30" t="s">
        <v>182</v>
      </c>
      <c r="C22" s="30" t="s">
        <v>396</v>
      </c>
      <c r="D22" s="30" t="s">
        <v>333</v>
      </c>
      <c r="E22" s="30" t="s">
        <v>314</v>
      </c>
      <c r="F22" s="30" t="s">
        <v>329</v>
      </c>
      <c r="G22" s="30" t="s">
        <v>397</v>
      </c>
      <c r="H22" s="30" t="s">
        <v>51</v>
      </c>
    </row>
    <row r="23" customFormat="false" ht="15" hidden="false" customHeight="false" outlineLevel="0" collapsed="false">
      <c r="A23" s="30" t="s">
        <v>398</v>
      </c>
      <c r="B23" s="30" t="s">
        <v>208</v>
      </c>
      <c r="C23" s="30" t="s">
        <v>399</v>
      </c>
      <c r="D23" s="30" t="s">
        <v>333</v>
      </c>
      <c r="E23" s="30" t="s">
        <v>314</v>
      </c>
      <c r="F23" s="30" t="s">
        <v>400</v>
      </c>
      <c r="G23" s="30" t="s">
        <v>401</v>
      </c>
      <c r="H23" s="30" t="s">
        <v>51</v>
      </c>
    </row>
    <row r="24" customFormat="false" ht="15" hidden="false" customHeight="false" outlineLevel="0" collapsed="false">
      <c r="A24" s="30" t="s">
        <v>402</v>
      </c>
      <c r="B24" s="30" t="s">
        <v>208</v>
      </c>
      <c r="C24" s="30" t="s">
        <v>403</v>
      </c>
      <c r="D24" s="30" t="s">
        <v>333</v>
      </c>
      <c r="E24" s="30" t="s">
        <v>314</v>
      </c>
      <c r="F24" s="30" t="s">
        <v>400</v>
      </c>
      <c r="G24" s="30" t="s">
        <v>401</v>
      </c>
      <c r="H24" s="30" t="s">
        <v>51</v>
      </c>
    </row>
    <row r="25" customFormat="false" ht="15" hidden="false" customHeight="false" outlineLevel="0" collapsed="false">
      <c r="A25" s="30" t="s">
        <v>404</v>
      </c>
      <c r="B25" s="30" t="s">
        <v>208</v>
      </c>
      <c r="C25" s="30" t="s">
        <v>405</v>
      </c>
      <c r="D25" s="30" t="s">
        <v>333</v>
      </c>
      <c r="E25" s="30" t="s">
        <v>314</v>
      </c>
      <c r="F25" s="30" t="s">
        <v>400</v>
      </c>
      <c r="G25" s="30" t="s">
        <v>401</v>
      </c>
      <c r="H25" s="30" t="s">
        <v>51</v>
      </c>
    </row>
    <row r="26" customFormat="false" ht="15" hidden="false" customHeight="false" outlineLevel="0" collapsed="false">
      <c r="A26" s="30" t="s">
        <v>406</v>
      </c>
      <c r="B26" s="30" t="s">
        <v>208</v>
      </c>
      <c r="C26" s="30" t="s">
        <v>407</v>
      </c>
      <c r="D26" s="30" t="s">
        <v>333</v>
      </c>
      <c r="E26" s="30" t="s">
        <v>314</v>
      </c>
      <c r="F26" s="30" t="s">
        <v>400</v>
      </c>
      <c r="G26" s="30" t="s">
        <v>401</v>
      </c>
      <c r="H26" s="30" t="s">
        <v>51</v>
      </c>
    </row>
    <row r="27" customFormat="false" ht="15" hidden="false" customHeight="false" outlineLevel="0" collapsed="false">
      <c r="A27" s="30" t="s">
        <v>408</v>
      </c>
      <c r="B27" s="30" t="s">
        <v>208</v>
      </c>
      <c r="C27" s="30" t="s">
        <v>409</v>
      </c>
      <c r="D27" s="30" t="s">
        <v>333</v>
      </c>
      <c r="E27" s="30" t="s">
        <v>314</v>
      </c>
      <c r="F27" s="30" t="s">
        <v>400</v>
      </c>
      <c r="G27" s="30" t="s">
        <v>401</v>
      </c>
      <c r="H27" s="30" t="s">
        <v>51</v>
      </c>
    </row>
    <row r="28" customFormat="false" ht="15" hidden="false" customHeight="false" outlineLevel="0" collapsed="false">
      <c r="A28" s="30" t="s">
        <v>410</v>
      </c>
      <c r="B28" s="30" t="s">
        <v>248</v>
      </c>
      <c r="C28" s="30" t="s">
        <v>411</v>
      </c>
      <c r="D28" s="30" t="s">
        <v>333</v>
      </c>
      <c r="E28" s="30" t="s">
        <v>314</v>
      </c>
      <c r="F28" s="30" t="s">
        <v>311</v>
      </c>
      <c r="G28" s="30" t="s">
        <v>274</v>
      </c>
      <c r="H28" s="30" t="s">
        <v>51</v>
      </c>
    </row>
  </sheetData>
  <autoFilter ref="A2:H2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28" t="s">
        <v>412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29" t="s">
        <v>413</v>
      </c>
      <c r="B2" s="29" t="s">
        <v>414</v>
      </c>
      <c r="C2" s="29" t="s">
        <v>415</v>
      </c>
      <c r="D2" s="29" t="s">
        <v>416</v>
      </c>
      <c r="E2" s="29" t="s">
        <v>417</v>
      </c>
      <c r="F2" s="29" t="s">
        <v>418</v>
      </c>
    </row>
    <row r="3" customFormat="false" ht="32.8" hidden="false" customHeight="false" outlineLevel="0" collapsed="false">
      <c r="A3" s="30" t="n">
        <v>1</v>
      </c>
      <c r="B3" s="30" t="s">
        <v>419</v>
      </c>
      <c r="C3" s="33" t="s">
        <v>420</v>
      </c>
      <c r="D3" s="33" t="s">
        <v>420</v>
      </c>
      <c r="E3" s="30" t="s">
        <v>421</v>
      </c>
      <c r="F3" s="30" t="s">
        <v>422</v>
      </c>
    </row>
    <row r="4" customFormat="false" ht="22.35" hidden="false" customHeight="false" outlineLevel="0" collapsed="false">
      <c r="A4" s="30" t="n">
        <v>2</v>
      </c>
      <c r="B4" s="30" t="s">
        <v>423</v>
      </c>
      <c r="C4" s="33" t="s">
        <v>420</v>
      </c>
      <c r="D4" s="34" t="s">
        <v>424</v>
      </c>
      <c r="E4" s="30" t="s">
        <v>425</v>
      </c>
      <c r="F4" s="30" t="s">
        <v>426</v>
      </c>
    </row>
    <row r="5" customFormat="false" ht="32.8" hidden="false" customHeight="false" outlineLevel="0" collapsed="false">
      <c r="A5" s="30" t="n">
        <v>3</v>
      </c>
      <c r="B5" s="30" t="s">
        <v>427</v>
      </c>
      <c r="C5" s="33" t="s">
        <v>420</v>
      </c>
      <c r="D5" s="34" t="s">
        <v>424</v>
      </c>
      <c r="E5" s="30" t="s">
        <v>428</v>
      </c>
      <c r="F5" s="30" t="s">
        <v>429</v>
      </c>
    </row>
    <row r="6" customFormat="false" ht="22.35" hidden="false" customHeight="false" outlineLevel="0" collapsed="false">
      <c r="A6" s="30" t="n">
        <v>4</v>
      </c>
      <c r="B6" s="30" t="s">
        <v>430</v>
      </c>
      <c r="C6" s="33" t="s">
        <v>420</v>
      </c>
      <c r="D6" s="34" t="s">
        <v>424</v>
      </c>
      <c r="E6" s="30" t="s">
        <v>431</v>
      </c>
      <c r="F6" s="30" t="s">
        <v>432</v>
      </c>
    </row>
    <row r="7" customFormat="false" ht="22.35" hidden="false" customHeight="false" outlineLevel="0" collapsed="false">
      <c r="A7" s="30" t="n">
        <v>5</v>
      </c>
      <c r="B7" s="30" t="s">
        <v>433</v>
      </c>
      <c r="C7" s="33" t="s">
        <v>420</v>
      </c>
      <c r="D7" s="33" t="s">
        <v>420</v>
      </c>
      <c r="E7" s="30" t="s">
        <v>431</v>
      </c>
      <c r="F7" s="30" t="s">
        <v>434</v>
      </c>
    </row>
    <row r="8" customFormat="false" ht="22.35" hidden="false" customHeight="false" outlineLevel="0" collapsed="false">
      <c r="A8" s="30" t="n">
        <v>6</v>
      </c>
      <c r="B8" s="30" t="s">
        <v>435</v>
      </c>
      <c r="C8" s="34" t="s">
        <v>424</v>
      </c>
      <c r="D8" s="35" t="s">
        <v>436</v>
      </c>
      <c r="E8" s="30" t="s">
        <v>437</v>
      </c>
      <c r="F8" s="30" t="s">
        <v>438</v>
      </c>
    </row>
    <row r="9" customFormat="false" ht="22.35" hidden="false" customHeight="false" outlineLevel="0" collapsed="false">
      <c r="A9" s="30" t="n">
        <v>7</v>
      </c>
      <c r="B9" s="30" t="s">
        <v>439</v>
      </c>
      <c r="C9" s="34" t="s">
        <v>424</v>
      </c>
      <c r="D9" s="33" t="s">
        <v>420</v>
      </c>
      <c r="E9" s="30" t="s">
        <v>440</v>
      </c>
      <c r="F9" s="30" t="s">
        <v>441</v>
      </c>
    </row>
    <row r="10" customFormat="false" ht="22.35" hidden="false" customHeight="false" outlineLevel="0" collapsed="false">
      <c r="A10" s="30" t="n">
        <v>8</v>
      </c>
      <c r="B10" s="30" t="s">
        <v>442</v>
      </c>
      <c r="C10" s="34" t="s">
        <v>424</v>
      </c>
      <c r="D10" s="33" t="s">
        <v>420</v>
      </c>
      <c r="E10" s="30" t="s">
        <v>443</v>
      </c>
      <c r="F10" s="30" t="s">
        <v>444</v>
      </c>
    </row>
    <row r="11" customFormat="false" ht="22.35" hidden="false" customHeight="false" outlineLevel="0" collapsed="false">
      <c r="A11" s="30" t="n">
        <v>9</v>
      </c>
      <c r="B11" s="30" t="s">
        <v>445</v>
      </c>
      <c r="C11" s="33" t="s">
        <v>420</v>
      </c>
      <c r="D11" s="35" t="s">
        <v>436</v>
      </c>
      <c r="E11" s="30" t="s">
        <v>446</v>
      </c>
      <c r="F11" s="30" t="s">
        <v>447</v>
      </c>
    </row>
    <row r="12" customFormat="false" ht="22.35" hidden="false" customHeight="false" outlineLevel="0" collapsed="false">
      <c r="A12" s="30" t="n">
        <v>10</v>
      </c>
      <c r="B12" s="30" t="s">
        <v>448</v>
      </c>
      <c r="C12" s="34" t="s">
        <v>424</v>
      </c>
      <c r="D12" s="34" t="s">
        <v>424</v>
      </c>
      <c r="E12" s="30" t="s">
        <v>449</v>
      </c>
      <c r="F12" s="30" t="s">
        <v>450</v>
      </c>
    </row>
    <row r="13" customFormat="false" ht="22.35" hidden="false" customHeight="false" outlineLevel="0" collapsed="false">
      <c r="A13" s="30" t="n">
        <v>11</v>
      </c>
      <c r="B13" s="30" t="s">
        <v>451</v>
      </c>
      <c r="C13" s="33" t="s">
        <v>420</v>
      </c>
      <c r="D13" s="33" t="s">
        <v>420</v>
      </c>
      <c r="E13" s="30" t="s">
        <v>284</v>
      </c>
      <c r="F13" s="30" t="s">
        <v>452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2026-06-23T04:42:55Z</dcterms:created>
  <dc:creator>openpyxl</dc:creator>
  <dc:description/>
  <dc:language>en-US</dc:language>
  <cp:lastModifiedBy/>
  <dcterms:modified xsi:type="dcterms:W3CDTF">2026-06-23T04:42:56Z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